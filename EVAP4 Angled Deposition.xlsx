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d\Downloads\"/>
    </mc:Choice>
  </mc:AlternateContent>
  <xr:revisionPtr revIDLastSave="0" documentId="8_{4B323C11-0AEC-4E4E-B30D-62FA9E5B05B8}" xr6:coauthVersionLast="47" xr6:coauthVersionMax="47" xr10:uidLastSave="{00000000-0000-0000-0000-000000000000}"/>
  <bookViews>
    <workbookView xWindow="-108" yWindow="-108" windowWidth="23256" windowHeight="12456" tabRatio="747" activeTab="4" xr2:uid="{D6AA45CB-83A4-4966-9D86-A35E599A57DD}"/>
  </bookViews>
  <sheets>
    <sheet name="Process Flow" sheetId="3" r:id="rId1"/>
    <sheet name="Run Sheet" sheetId="5" r:id="rId2"/>
    <sheet name="Wafer Status" sheetId="6" r:id="rId3"/>
    <sheet name="Pad widths" sheetId="7" r:id="rId4"/>
    <sheet name="Pad widths (2)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8" l="1"/>
  <c r="P10" i="8"/>
  <c r="M10" i="8"/>
  <c r="J10" i="8"/>
  <c r="U9" i="8"/>
  <c r="T9" i="8"/>
  <c r="S9" i="8"/>
  <c r="U8" i="8"/>
  <c r="T8" i="8"/>
  <c r="S8" i="8"/>
  <c r="U7" i="8"/>
  <c r="T7" i="8"/>
  <c r="S7" i="8"/>
  <c r="U6" i="8"/>
  <c r="T6" i="8"/>
  <c r="S6" i="8"/>
  <c r="U5" i="8"/>
  <c r="T5" i="8"/>
  <c r="S5" i="8"/>
  <c r="U4" i="8"/>
  <c r="T4" i="8"/>
  <c r="S4" i="8"/>
  <c r="U3" i="8"/>
  <c r="T3" i="8"/>
  <c r="S3" i="8"/>
  <c r="R9" i="8"/>
  <c r="Q9" i="8"/>
  <c r="P9" i="8"/>
  <c r="R8" i="8"/>
  <c r="Q8" i="8"/>
  <c r="P8" i="8"/>
  <c r="R7" i="8"/>
  <c r="Q7" i="8"/>
  <c r="P7" i="8"/>
  <c r="R6" i="8"/>
  <c r="Q6" i="8"/>
  <c r="P6" i="8"/>
  <c r="R5" i="8"/>
  <c r="Q5" i="8"/>
  <c r="P5" i="8"/>
  <c r="R4" i="8"/>
  <c r="Q4" i="8"/>
  <c r="P4" i="8"/>
  <c r="R3" i="8"/>
  <c r="Q3" i="8"/>
  <c r="P3" i="8"/>
  <c r="O9" i="8"/>
  <c r="N9" i="8"/>
  <c r="M9" i="8"/>
  <c r="O8" i="8"/>
  <c r="N8" i="8"/>
  <c r="M8" i="8"/>
  <c r="O7" i="8"/>
  <c r="N7" i="8"/>
  <c r="M7" i="8"/>
  <c r="O6" i="8"/>
  <c r="N6" i="8"/>
  <c r="M6" i="8"/>
  <c r="O5" i="8"/>
  <c r="N5" i="8"/>
  <c r="M5" i="8"/>
  <c r="O4" i="8"/>
  <c r="N4" i="8"/>
  <c r="M4" i="8"/>
  <c r="L9" i="8"/>
  <c r="K9" i="8"/>
  <c r="J9" i="8"/>
  <c r="L8" i="8"/>
  <c r="K8" i="8"/>
  <c r="J8" i="8"/>
  <c r="L7" i="8"/>
  <c r="K7" i="8"/>
  <c r="J7" i="8"/>
  <c r="L6" i="8"/>
  <c r="K6" i="8"/>
  <c r="J6" i="8"/>
  <c r="L5" i="8"/>
  <c r="K5" i="8"/>
  <c r="J5" i="8"/>
  <c r="L4" i="8"/>
  <c r="K4" i="8"/>
  <c r="J4" i="8"/>
  <c r="H3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I4" i="8"/>
  <c r="H4" i="8"/>
  <c r="G4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F3" i="8"/>
  <c r="E3" i="8"/>
  <c r="D3" i="8"/>
  <c r="U10" i="8"/>
  <c r="T10" i="8"/>
  <c r="R10" i="8"/>
  <c r="Q10" i="8"/>
  <c r="O10" i="8"/>
  <c r="N10" i="8"/>
  <c r="L10" i="8"/>
  <c r="K10" i="8"/>
  <c r="I10" i="8"/>
  <c r="H10" i="8"/>
  <c r="G10" i="8"/>
  <c r="F10" i="8"/>
  <c r="E10" i="8"/>
  <c r="D10" i="8"/>
  <c r="AF12" i="6"/>
  <c r="AH11" i="6"/>
  <c r="AE11" i="6"/>
  <c r="AQ10" i="6"/>
  <c r="AN10" i="6"/>
  <c r="AH10" i="6"/>
  <c r="AK10" i="6"/>
  <c r="J10" i="7" s="1"/>
  <c r="AJ10" i="6"/>
  <c r="I10" i="7" s="1"/>
  <c r="AI10" i="6"/>
  <c r="AM10" i="6"/>
  <c r="AL10" i="6"/>
  <c r="K10" i="7" s="1"/>
  <c r="M10" i="7"/>
  <c r="AE10" i="6"/>
  <c r="H10" i="7"/>
  <c r="AG10" i="6"/>
  <c r="AF10" i="6"/>
  <c r="E10" i="7" s="1"/>
  <c r="L10" i="7"/>
  <c r="F10" i="7"/>
  <c r="D10" i="7"/>
  <c r="G10" i="7"/>
  <c r="N10" i="7"/>
  <c r="O10" i="7"/>
  <c r="P10" i="7"/>
  <c r="Q10" i="7"/>
  <c r="R10" i="7"/>
  <c r="S10" i="7"/>
  <c r="AT3" i="6"/>
  <c r="AT5" i="6"/>
  <c r="AT10" i="6"/>
  <c r="D3" i="7"/>
  <c r="E3" i="7"/>
  <c r="F3" i="7"/>
  <c r="S3" i="7"/>
  <c r="H3" i="7"/>
  <c r="T3" i="7" s="1"/>
  <c r="U3" i="7"/>
  <c r="P3" i="7"/>
  <c r="Q3" i="7"/>
  <c r="R3" i="7"/>
  <c r="D4" i="7"/>
  <c r="E4" i="7"/>
  <c r="F4" i="7"/>
  <c r="G4" i="7"/>
  <c r="H4" i="7"/>
  <c r="T4" i="7" s="1"/>
  <c r="I4" i="7"/>
  <c r="U4" i="7" s="1"/>
  <c r="J4" i="7"/>
  <c r="K4" i="7"/>
  <c r="L4" i="7"/>
  <c r="M4" i="7"/>
  <c r="N4" i="7"/>
  <c r="O4" i="7"/>
  <c r="P4" i="7"/>
  <c r="Q4" i="7"/>
  <c r="R4" i="7"/>
  <c r="D5" i="7"/>
  <c r="E5" i="7"/>
  <c r="F5" i="7"/>
  <c r="G5" i="7"/>
  <c r="S5" i="7" s="1"/>
  <c r="H5" i="7"/>
  <c r="T5" i="7" s="1"/>
  <c r="I5" i="7"/>
  <c r="U5" i="7" s="1"/>
  <c r="J5" i="7"/>
  <c r="K5" i="7"/>
  <c r="L5" i="7"/>
  <c r="M5" i="7"/>
  <c r="N5" i="7"/>
  <c r="O5" i="7"/>
  <c r="P5" i="7"/>
  <c r="Q5" i="7"/>
  <c r="R5" i="7"/>
  <c r="D6" i="7"/>
  <c r="E6" i="7"/>
  <c r="F6" i="7"/>
  <c r="U6" i="7" s="1"/>
  <c r="G6" i="7"/>
  <c r="H6" i="7"/>
  <c r="I6" i="7"/>
  <c r="J6" i="7"/>
  <c r="K6" i="7"/>
  <c r="L6" i="7"/>
  <c r="M6" i="7"/>
  <c r="N6" i="7"/>
  <c r="O6" i="7"/>
  <c r="P6" i="7"/>
  <c r="Q6" i="7"/>
  <c r="R6" i="7"/>
  <c r="D7" i="7"/>
  <c r="E7" i="7"/>
  <c r="F7" i="7"/>
  <c r="G7" i="7"/>
  <c r="H7" i="7"/>
  <c r="T7" i="7" s="1"/>
  <c r="I7" i="7"/>
  <c r="U7" i="7" s="1"/>
  <c r="J7" i="7"/>
  <c r="K7" i="7"/>
  <c r="L7" i="7"/>
  <c r="M7" i="7"/>
  <c r="N7" i="7"/>
  <c r="O7" i="7"/>
  <c r="P7" i="7"/>
  <c r="Q7" i="7"/>
  <c r="R7" i="7"/>
  <c r="D8" i="7"/>
  <c r="E8" i="7"/>
  <c r="F8" i="7"/>
  <c r="U8" i="7" s="1"/>
  <c r="G8" i="7"/>
  <c r="H8" i="7"/>
  <c r="T8" i="7" s="1"/>
  <c r="I8" i="7"/>
  <c r="J8" i="7"/>
  <c r="K8" i="7"/>
  <c r="L8" i="7"/>
  <c r="M8" i="7"/>
  <c r="N8" i="7"/>
  <c r="O8" i="7"/>
  <c r="P8" i="7"/>
  <c r="Q8" i="7"/>
  <c r="R8" i="7"/>
  <c r="D9" i="7"/>
  <c r="E9" i="7"/>
  <c r="F9" i="7"/>
  <c r="G9" i="7"/>
  <c r="H9" i="7"/>
  <c r="T9" i="7" s="1"/>
  <c r="I9" i="7"/>
  <c r="U9" i="7" s="1"/>
  <c r="J9" i="7"/>
  <c r="K9" i="7"/>
  <c r="L9" i="7"/>
  <c r="M9" i="7"/>
  <c r="N9" i="7"/>
  <c r="O9" i="7"/>
  <c r="P9" i="7"/>
  <c r="Q9" i="7"/>
  <c r="R9" i="7"/>
  <c r="T6" i="7"/>
  <c r="AP10" i="6"/>
  <c r="AO10" i="6"/>
  <c r="AS10" i="6"/>
  <c r="AR10" i="6"/>
  <c r="Q10" i="6"/>
  <c r="BA3" i="6"/>
  <c r="BJ3" i="6"/>
  <c r="BG3" i="6"/>
  <c r="AX4" i="6"/>
  <c r="BD4" i="6"/>
  <c r="BA5" i="6"/>
  <c r="BG5" i="6"/>
  <c r="BJ5" i="6"/>
  <c r="AX5" i="6"/>
  <c r="BD5" i="6"/>
  <c r="BA6" i="6"/>
  <c r="BG6" i="6"/>
  <c r="BJ6" i="6"/>
  <c r="AX6" i="6"/>
  <c r="BD6" i="6"/>
  <c r="BG7" i="6"/>
  <c r="BA7" i="6"/>
  <c r="BJ7" i="6"/>
  <c r="AX7" i="6"/>
  <c r="BD7" i="6"/>
  <c r="BG8" i="6"/>
  <c r="BA8" i="6"/>
  <c r="BJ8" i="6"/>
  <c r="AX8" i="6"/>
  <c r="BD8" i="6"/>
  <c r="BG9" i="6"/>
  <c r="BA9" i="6"/>
  <c r="BD9" i="6"/>
  <c r="BJ9" i="6"/>
  <c r="AX9" i="6"/>
  <c r="BM9" i="6" s="1"/>
  <c r="AM9" i="6"/>
  <c r="AL9" i="6"/>
  <c r="AG9" i="6"/>
  <c r="AF9" i="6"/>
  <c r="AP9" i="6"/>
  <c r="AO9" i="6"/>
  <c r="AJ9" i="6"/>
  <c r="AI9" i="6"/>
  <c r="AS9" i="6"/>
  <c r="AR9" i="6"/>
  <c r="V10" i="6"/>
  <c r="U10" i="6"/>
  <c r="T10" i="6"/>
  <c r="S10" i="6"/>
  <c r="R10" i="6"/>
  <c r="P10" i="6"/>
  <c r="O10" i="6"/>
  <c r="N10" i="6"/>
  <c r="M10" i="6"/>
  <c r="L10" i="6"/>
  <c r="K10" i="6"/>
  <c r="J10" i="6"/>
  <c r="Y10" i="6" s="1"/>
  <c r="I10" i="6"/>
  <c r="X10" i="6" s="1"/>
  <c r="H10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W9" i="6" s="1"/>
  <c r="S9" i="7" l="1"/>
  <c r="S6" i="7"/>
  <c r="S8" i="7"/>
  <c r="S7" i="7"/>
  <c r="S4" i="7"/>
  <c r="X9" i="6"/>
  <c r="Y9" i="6"/>
  <c r="W10" i="6"/>
  <c r="BM8" i="6"/>
  <c r="BM7" i="6"/>
  <c r="BM6" i="6"/>
  <c r="BM5" i="6"/>
  <c r="BM4" i="6"/>
  <c r="BM3" i="6"/>
  <c r="AG8" i="6"/>
  <c r="AF8" i="6"/>
  <c r="AP8" i="6"/>
  <c r="AO8" i="6"/>
  <c r="AJ8" i="6"/>
  <c r="AI8" i="6"/>
  <c r="AS8" i="6"/>
  <c r="AR8" i="6"/>
  <c r="AM8" i="6"/>
  <c r="AL8" i="6"/>
  <c r="AG4" i="6"/>
  <c r="AF4" i="6"/>
  <c r="AP4" i="6"/>
  <c r="AO4" i="6"/>
  <c r="AJ4" i="6"/>
  <c r="AI4" i="6"/>
  <c r="AS4" i="6"/>
  <c r="AR4" i="6"/>
  <c r="AM4" i="6"/>
  <c r="AV4" i="6" s="1"/>
  <c r="AL4" i="6"/>
  <c r="AJ7" i="6"/>
  <c r="AI7" i="6"/>
  <c r="AP7" i="6"/>
  <c r="AO7" i="6"/>
  <c r="AM7" i="6"/>
  <c r="AL7" i="6"/>
  <c r="AG7" i="6"/>
  <c r="AF7" i="6"/>
  <c r="AS7" i="6"/>
  <c r="AR7" i="6"/>
  <c r="AV8" i="6"/>
  <c r="AV9" i="6"/>
  <c r="AU9" i="6"/>
  <c r="AP6" i="6"/>
  <c r="AO6" i="6"/>
  <c r="AJ6" i="6"/>
  <c r="AI6" i="6"/>
  <c r="AM6" i="6"/>
  <c r="AL6" i="6"/>
  <c r="AG6" i="6"/>
  <c r="AF6" i="6"/>
  <c r="AS6" i="6"/>
  <c r="AR6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E5" i="6"/>
  <c r="S8" i="6"/>
  <c r="R8" i="6"/>
  <c r="Q8" i="6"/>
  <c r="M8" i="6"/>
  <c r="L8" i="6"/>
  <c r="K8" i="6"/>
  <c r="P8" i="6"/>
  <c r="O8" i="6"/>
  <c r="N8" i="6"/>
  <c r="J8" i="6"/>
  <c r="I8" i="6"/>
  <c r="H8" i="6"/>
  <c r="V8" i="6"/>
  <c r="U8" i="6"/>
  <c r="T8" i="6"/>
  <c r="M7" i="6"/>
  <c r="L7" i="6"/>
  <c r="K7" i="6"/>
  <c r="S7" i="6"/>
  <c r="R7" i="6"/>
  <c r="Q7" i="6"/>
  <c r="P7" i="6"/>
  <c r="O7" i="6"/>
  <c r="N7" i="6"/>
  <c r="V7" i="6"/>
  <c r="U7" i="6"/>
  <c r="T7" i="6"/>
  <c r="J7" i="6"/>
  <c r="Y7" i="6" s="1"/>
  <c r="I7" i="6"/>
  <c r="X7" i="6" s="1"/>
  <c r="H7" i="6"/>
  <c r="W7" i="6" s="1"/>
  <c r="S6" i="6"/>
  <c r="R6" i="6"/>
  <c r="Q6" i="6"/>
  <c r="P6" i="6"/>
  <c r="O6" i="6"/>
  <c r="N6" i="6"/>
  <c r="M6" i="6"/>
  <c r="L6" i="6"/>
  <c r="K6" i="6"/>
  <c r="J6" i="6"/>
  <c r="I6" i="6"/>
  <c r="H6" i="6"/>
  <c r="V6" i="6"/>
  <c r="U6" i="6"/>
  <c r="T6" i="6"/>
  <c r="M5" i="6"/>
  <c r="L5" i="6"/>
  <c r="K5" i="6"/>
  <c r="S5" i="6"/>
  <c r="R5" i="6"/>
  <c r="Q5" i="6"/>
  <c r="P5" i="6"/>
  <c r="O5" i="6"/>
  <c r="N5" i="6"/>
  <c r="J5" i="6"/>
  <c r="I5" i="6"/>
  <c r="H5" i="6"/>
  <c r="V5" i="6"/>
  <c r="U5" i="6"/>
  <c r="T5" i="6"/>
  <c r="S4" i="6"/>
  <c r="R4" i="6"/>
  <c r="Q4" i="6"/>
  <c r="P4" i="6"/>
  <c r="O4" i="6"/>
  <c r="N4" i="6"/>
  <c r="M4" i="6"/>
  <c r="L4" i="6"/>
  <c r="K4" i="6"/>
  <c r="J4" i="6"/>
  <c r="I4" i="6"/>
  <c r="H4" i="6"/>
  <c r="V4" i="6"/>
  <c r="U4" i="6"/>
  <c r="T4" i="6"/>
  <c r="L3" i="6"/>
  <c r="V3" i="6"/>
  <c r="U3" i="6"/>
  <c r="T3" i="6"/>
  <c r="J3" i="6"/>
  <c r="I3" i="6"/>
  <c r="H3" i="6"/>
  <c r="W3" i="6" s="1"/>
  <c r="W4" i="6" l="1"/>
  <c r="X4" i="6"/>
  <c r="Y4" i="6"/>
  <c r="W5" i="6"/>
  <c r="X5" i="6"/>
  <c r="Y5" i="6"/>
  <c r="W6" i="6"/>
  <c r="X6" i="6"/>
  <c r="Y6" i="6"/>
  <c r="W8" i="6"/>
  <c r="X8" i="6"/>
  <c r="Y8" i="6"/>
  <c r="AV10" i="6"/>
  <c r="U10" i="7" s="1"/>
  <c r="AU10" i="6"/>
  <c r="T10" i="7" s="1"/>
  <c r="AV5" i="6"/>
  <c r="AU5" i="6"/>
  <c r="AU6" i="6"/>
  <c r="AV6" i="6"/>
  <c r="AV7" i="6"/>
  <c r="AU4" i="6"/>
  <c r="AU8" i="6"/>
  <c r="AU7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X3" i="6" l="1"/>
  <c r="AU3" i="6"/>
  <c r="AV3" i="6"/>
  <c r="Y3" i="6"/>
</calcChain>
</file>

<file path=xl/sharedStrings.xml><?xml version="1.0" encoding="utf-8"?>
<sst xmlns="http://schemas.openxmlformats.org/spreadsheetml/2006/main" count="252" uniqueCount="99">
  <si>
    <t>Step</t>
  </si>
  <si>
    <t>Tool</t>
  </si>
  <si>
    <t>Recipe</t>
  </si>
  <si>
    <t>Notes</t>
  </si>
  <si>
    <t>Purpose</t>
  </si>
  <si>
    <t>0 SCRIBE</t>
  </si>
  <si>
    <t>1 ASH</t>
  </si>
  <si>
    <t>YES Asher</t>
  </si>
  <si>
    <t>Recipe 4 Descum</t>
  </si>
  <si>
    <t>Improved Resist Adhesion was observed for oxide qual wafers when ashed in YES asher just prior to coating</t>
  </si>
  <si>
    <t>Wafer clean</t>
  </si>
  <si>
    <t>2-4 COAT</t>
  </si>
  <si>
    <t>ACS200</t>
  </si>
  <si>
    <t>AZ 10XT 6 um</t>
  </si>
  <si>
    <t>HMDS, coat, bake to deposit photoresist</t>
  </si>
  <si>
    <t>5 FILMETRICS</t>
  </si>
  <si>
    <t>Filmetrics reflectometer</t>
  </si>
  <si>
    <t>MFF AZ10XT on Si</t>
  </si>
  <si>
    <t>Should be around 6um</t>
  </si>
  <si>
    <t>Determine resist thickness</t>
  </si>
  <si>
    <t>6 REHYDRATE</t>
  </si>
  <si>
    <t>30 min</t>
  </si>
  <si>
    <t>Do NOT skip!! Otherwise photoresist will crack/delaminate after developing</t>
  </si>
  <si>
    <t>7 EXPOSE</t>
  </si>
  <si>
    <t>MLA150</t>
  </si>
  <si>
    <t>Design_Orthogonal_Trenches.gds</t>
  </si>
  <si>
    <t>Expose test pattern into resist</t>
  </si>
  <si>
    <t>8 DEVELOP</t>
  </si>
  <si>
    <t>3 min, AZ 400K</t>
  </si>
  <si>
    <t>Dissolve exposed regions of resist in developer to transfer mask pattern into resist</t>
  </si>
  <si>
    <t>9 DESCUM</t>
  </si>
  <si>
    <t>cleans remnants of exposed-yet-undeveloped resist via a low-power oxygen plasma</t>
  </si>
  <si>
    <t>10 INSPECT</t>
  </si>
  <si>
    <t>NIKON</t>
  </si>
  <si>
    <t>Check for completed develop and flaws</t>
  </si>
  <si>
    <t>Determine pre-deposition trench widths</t>
  </si>
  <si>
    <t>11 EVAP</t>
  </si>
  <si>
    <t>EVAP4</t>
  </si>
  <si>
    <t>Cu, 500 nm</t>
  </si>
  <si>
    <t>Vary angle according to run sheet</t>
  </si>
  <si>
    <t>Shrink trench</t>
  </si>
  <si>
    <t>12 INSPECT</t>
  </si>
  <si>
    <t>Determine post-deposition trench widths</t>
  </si>
  <si>
    <t>13 DEKTAK</t>
  </si>
  <si>
    <t>Measure deposition thickness</t>
  </si>
  <si>
    <t>Run</t>
  </si>
  <si>
    <t>Wafer ID</t>
  </si>
  <si>
    <t>Metal</t>
  </si>
  <si>
    <t>Thickness (nm)</t>
  </si>
  <si>
    <t>Angle</t>
  </si>
  <si>
    <t>A1</t>
  </si>
  <si>
    <t>Cu</t>
  </si>
  <si>
    <t>test run</t>
  </si>
  <si>
    <t>A3</t>
  </si>
  <si>
    <t>didn't tilt, ran with actual angle of 0 :(</t>
  </si>
  <si>
    <t>A4</t>
  </si>
  <si>
    <t>A5</t>
  </si>
  <si>
    <t>loaded 180° backwards</t>
  </si>
  <si>
    <t>A6</t>
  </si>
  <si>
    <t>A2</t>
  </si>
  <si>
    <t>forgot kapton tape, could measure pins</t>
  </si>
  <si>
    <t>A7</t>
  </si>
  <si>
    <t>A8</t>
  </si>
  <si>
    <t>5 FILMETRICS (Photoresist)</t>
  </si>
  <si>
    <t>Pre-evap trench width (North)</t>
  </si>
  <si>
    <t>Pre-evap trench width (East)</t>
  </si>
  <si>
    <t>Pre-evap trench width (South)</t>
  </si>
  <si>
    <t>Pre-evap trench width (West)</t>
  </si>
  <si>
    <t>Pre-evap trench width (Center)</t>
  </si>
  <si>
    <t>Pre-evap trench width (Average)</t>
  </si>
  <si>
    <t>Post-evap trench width (North)</t>
  </si>
  <si>
    <t>Post-evap trench width (East)</t>
  </si>
  <si>
    <t>Post-evap trench width (South)</t>
  </si>
  <si>
    <t>Post-evap trench width (West)</t>
  </si>
  <si>
    <t>Post-evap trench width (Center)</t>
  </si>
  <si>
    <t>Post-evap trench width (Average)</t>
  </si>
  <si>
    <t>Wafer</t>
  </si>
  <si>
    <t>Next Step</t>
  </si>
  <si>
    <t>Min</t>
  </si>
  <si>
    <t>Max</t>
  </si>
  <si>
    <t>Mean</t>
  </si>
  <si>
    <t>Std. Dev.</t>
  </si>
  <si>
    <t>Unif. [%]</t>
  </si>
  <si>
    <t>Vertical</t>
  </si>
  <si>
    <t>Horizontal</t>
  </si>
  <si>
    <t>Diagonal</t>
  </si>
  <si>
    <t>Deposition Rate (A/s)</t>
  </si>
  <si>
    <t>Dektak:</t>
  </si>
  <si>
    <t>no kapton</t>
  </si>
  <si>
    <t>45 failed</t>
  </si>
  <si>
    <t>180° rotation</t>
  </si>
  <si>
    <t>Complete</t>
  </si>
  <si>
    <t>one-way kapton</t>
  </si>
  <si>
    <t>Post-evap pad width (North)</t>
  </si>
  <si>
    <t>Post-evap pad width (East)</t>
  </si>
  <si>
    <t>Post-evap pad width (South)</t>
  </si>
  <si>
    <t>Post-evap pad width (West)</t>
  </si>
  <si>
    <t>Post-evap pad width (Center)</t>
  </si>
  <si>
    <t>Post-evap pad width (Average)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</si>
</sst>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3" tint="0.499984740745262"/>
      <name val="Aptos Narrow"/>
      <family val="2"/>
      <scheme val="minor"/>
    </font>
    <font>
      <sz val="11"/>
      <color rgb="FF4D93D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rgb="FFFFFFFF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2" xfId="0" applyBorder="1"/>
    <xf numFmtId="0" fontId="0" fillId="0" borderId="5" xfId="0" applyBorder="1"/>
    <xf numFmtId="0" fontId="1" fillId="0" borderId="0" xfId="0" applyFont="1" applyAlignment="1">
      <alignment horizontal="center" wrapText="1"/>
    </xf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7" fillId="0" borderId="0" xfId="0" applyFont="1"/>
    <xf numFmtId="49" fontId="0" fillId="0" borderId="0" xfId="0" quotePrefix="1" applyNumberFormat="1" applyAlignment="1">
      <alignment horizontal="right"/>
    </xf>
    <xf numFmtId="49" fontId="0" fillId="0" borderId="2" xfId="0" applyNumberFormat="1" applyBorder="1" applyAlignment="1">
      <alignment horizontal="right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3" fillId="0" borderId="0" xfId="0" applyFont="1" applyAlignment="1">
      <alignment vertical="top"/>
    </xf>
    <xf numFmtId="0" fontId="1" fillId="0" borderId="6" xfId="0" applyFont="1" applyBorder="1" applyAlignment="1">
      <alignment horizontal="center" wrapText="1"/>
    </xf>
    <xf numFmtId="0" fontId="13" fillId="0" borderId="0" xfId="0" applyFont="1"/>
    <xf numFmtId="0" fontId="15" fillId="0" borderId="0" xfId="0" applyFont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7" fillId="0" borderId="0" xfId="0" applyFont="1" applyAlignment="1">
      <alignment vertical="center"/>
    </xf>
    <xf numFmtId="0" fontId="14" fillId="7" borderId="6" xfId="0" applyFont="1" applyFill="1" applyBorder="1" applyAlignment="1">
      <alignment horizontal="center" wrapText="1"/>
    </xf>
    <xf numFmtId="0" fontId="14" fillId="7" borderId="0" xfId="0" applyFont="1" applyFill="1" applyAlignment="1">
      <alignment horizontal="center" wrapText="1"/>
    </xf>
    <xf numFmtId="0" fontId="14" fillId="7" borderId="2" xfId="0" applyFont="1" applyFill="1" applyBorder="1" applyAlignment="1">
      <alignment horizontal="center" wrapText="1"/>
    </xf>
    <xf numFmtId="0" fontId="14" fillId="6" borderId="6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0" fontId="14" fillId="6" borderId="2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12" fillId="7" borderId="6" xfId="0" applyFont="1" applyFill="1" applyBorder="1" applyAlignment="1">
      <alignment horizontal="center" wrapText="1"/>
    </xf>
    <xf numFmtId="0" fontId="12" fillId="7" borderId="0" xfId="0" applyFont="1" applyFill="1" applyAlignment="1">
      <alignment horizontal="center" wrapText="1"/>
    </xf>
    <xf numFmtId="0" fontId="12" fillId="7" borderId="2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0" fontId="12" fillId="6" borderId="0" xfId="0" applyFont="1" applyFill="1" applyAlignment="1">
      <alignment horizontal="center" wrapText="1"/>
    </xf>
    <xf numFmtId="0" fontId="12" fillId="6" borderId="2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wrapText="1"/>
    </xf>
    <xf numFmtId="0" fontId="10" fillId="8" borderId="0" xfId="0" applyFont="1" applyFill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16" fillId="6" borderId="6" xfId="0" applyFont="1" applyFill="1" applyBorder="1" applyAlignment="1">
      <alignment horizontal="center" wrapText="1"/>
    </xf>
    <xf numFmtId="0" fontId="16" fillId="6" borderId="0" xfId="0" applyFont="1" applyFill="1" applyAlignment="1">
      <alignment horizontal="center" wrapText="1"/>
    </xf>
    <xf numFmtId="0" fontId="16" fillId="6" borderId="2" xfId="0" applyFont="1" applyFill="1" applyBorder="1" applyAlignment="1">
      <alignment horizontal="center" wrapText="1"/>
    </xf>
    <xf numFmtId="0" fontId="16" fillId="7" borderId="6" xfId="0" applyFont="1" applyFill="1" applyBorder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16" fillId="7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1DAB-7321-4417-BD17-59DEA17BC6FB}">
  <dimension ref="A1:F15"/>
  <sheetViews>
    <sheetView zoomScale="107" workbookViewId="0">
      <selection activeCell="F7" sqref="F7"/>
    </sheetView>
  </sheetViews>
  <sheetFormatPr defaultRowHeight="14.4"/>
  <cols>
    <col min="1" max="1" width="17.44140625" customWidth="1"/>
    <col min="2" max="2" width="22.33203125" customWidth="1"/>
    <col min="3" max="3" width="22.109375" customWidth="1"/>
    <col min="4" max="4" width="22.44140625" customWidth="1"/>
    <col min="5" max="5" width="17.44140625" customWidth="1"/>
    <col min="6" max="6" width="55.44140625" customWidth="1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6" ht="27.75" customHeight="1">
      <c r="A2" s="28" t="s">
        <v>5</v>
      </c>
      <c r="B2" s="28"/>
      <c r="C2" s="28"/>
      <c r="D2" s="28"/>
      <c r="E2" s="28"/>
    </row>
    <row r="3" spans="1:6" ht="66">
      <c r="A3" s="1" t="s">
        <v>6</v>
      </c>
      <c r="B3" s="1" t="s">
        <v>7</v>
      </c>
      <c r="C3" s="1" t="s">
        <v>8</v>
      </c>
      <c r="D3" s="2" t="s">
        <v>9</v>
      </c>
      <c r="E3" s="3" t="s">
        <v>10</v>
      </c>
    </row>
    <row r="4" spans="1:6" ht="66">
      <c r="A4" s="1" t="s">
        <v>11</v>
      </c>
      <c r="B4" s="1" t="s">
        <v>12</v>
      </c>
      <c r="C4" s="2" t="s">
        <v>13</v>
      </c>
      <c r="D4" s="2" t="s">
        <v>9</v>
      </c>
      <c r="E4" s="3" t="s">
        <v>14</v>
      </c>
      <c r="F4" s="7"/>
    </row>
    <row r="5" spans="1:6" ht="27">
      <c r="A5" s="1" t="s">
        <v>15</v>
      </c>
      <c r="B5" s="28" t="s">
        <v>16</v>
      </c>
      <c r="C5" s="34" t="s">
        <v>17</v>
      </c>
      <c r="D5" t="s">
        <v>18</v>
      </c>
      <c r="E5" s="3" t="s">
        <v>19</v>
      </c>
    </row>
    <row r="6" spans="1:6" ht="53.4">
      <c r="A6" s="1" t="s">
        <v>20</v>
      </c>
      <c r="C6" s="1" t="s">
        <v>21</v>
      </c>
      <c r="D6" s="3" t="s">
        <v>22</v>
      </c>
    </row>
    <row r="7" spans="1:6" ht="27">
      <c r="A7" s="1" t="s">
        <v>23</v>
      </c>
      <c r="B7" s="1" t="s">
        <v>24</v>
      </c>
      <c r="C7" s="32" t="s">
        <v>25</v>
      </c>
      <c r="D7" s="3"/>
      <c r="E7" s="3" t="s">
        <v>26</v>
      </c>
    </row>
    <row r="8" spans="1:6" ht="66.599999999999994">
      <c r="A8" s="1" t="s">
        <v>27</v>
      </c>
      <c r="B8" s="1" t="s">
        <v>12</v>
      </c>
      <c r="C8" s="2" t="s">
        <v>28</v>
      </c>
      <c r="D8" s="2"/>
      <c r="E8" s="3" t="s">
        <v>29</v>
      </c>
    </row>
    <row r="9" spans="1:6" ht="66.599999999999994">
      <c r="A9" s="1" t="s">
        <v>30</v>
      </c>
      <c r="B9" s="1" t="s">
        <v>7</v>
      </c>
      <c r="C9" s="1" t="s">
        <v>8</v>
      </c>
      <c r="D9" s="2" t="s">
        <v>9</v>
      </c>
      <c r="E9" s="3" t="s">
        <v>31</v>
      </c>
    </row>
    <row r="10" spans="1:6" ht="40.200000000000003">
      <c r="A10" s="1" t="s">
        <v>32</v>
      </c>
      <c r="B10" s="1" t="s">
        <v>33</v>
      </c>
      <c r="C10" s="3"/>
      <c r="D10" s="1" t="s">
        <v>34</v>
      </c>
      <c r="E10" s="3" t="s">
        <v>35</v>
      </c>
      <c r="F10" s="8"/>
    </row>
    <row r="11" spans="1:6" ht="26.4">
      <c r="A11" s="1" t="s">
        <v>36</v>
      </c>
      <c r="B11" s="1" t="s">
        <v>37</v>
      </c>
      <c r="C11" s="1" t="s">
        <v>38</v>
      </c>
      <c r="D11" s="2" t="s">
        <v>39</v>
      </c>
      <c r="E11" s="3" t="s">
        <v>40</v>
      </c>
    </row>
    <row r="12" spans="1:6" ht="40.200000000000003">
      <c r="A12" s="1" t="s">
        <v>41</v>
      </c>
      <c r="B12" s="1" t="s">
        <v>33</v>
      </c>
      <c r="C12" s="3"/>
      <c r="D12" s="1"/>
      <c r="E12" s="3" t="s">
        <v>42</v>
      </c>
    </row>
    <row r="13" spans="1:6" ht="26.4">
      <c r="A13" s="1" t="s">
        <v>43</v>
      </c>
      <c r="B13" s="1"/>
      <c r="C13" s="3"/>
      <c r="D13" s="1" t="s">
        <v>44</v>
      </c>
      <c r="E13" s="3"/>
    </row>
    <row r="14" spans="1:6">
      <c r="A14" s="1"/>
      <c r="B14" s="1"/>
      <c r="C14" s="1"/>
      <c r="D14" s="2"/>
      <c r="E14" s="3"/>
    </row>
    <row r="15" spans="1:6">
      <c r="A15" s="1"/>
      <c r="B15" s="1"/>
      <c r="C15" s="3"/>
      <c r="D15" s="1"/>
      <c r="E1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B0B0-0ECE-4CBF-824B-46CE2AFD96BB}">
  <dimension ref="A1:F9"/>
  <sheetViews>
    <sheetView workbookViewId="0">
      <selection activeCell="I6" sqref="I6"/>
    </sheetView>
  </sheetViews>
  <sheetFormatPr defaultRowHeight="14.4"/>
  <cols>
    <col min="2" max="2" width="10.109375" customWidth="1"/>
    <col min="3" max="3" width="10.44140625" customWidth="1"/>
    <col min="4" max="4" width="13.6640625" bestFit="1" customWidth="1"/>
    <col min="5" max="5" width="12.5546875" customWidth="1"/>
    <col min="6" max="6" width="33.5546875" customWidth="1"/>
  </cols>
  <sheetData>
    <row r="1" spans="1:6">
      <c r="A1" s="15" t="s">
        <v>45</v>
      </c>
      <c r="B1" s="16" t="s">
        <v>46</v>
      </c>
      <c r="C1" s="17" t="s">
        <v>47</v>
      </c>
      <c r="D1" s="17" t="s">
        <v>48</v>
      </c>
      <c r="E1" s="16" t="s">
        <v>49</v>
      </c>
      <c r="F1" s="16" t="s">
        <v>3</v>
      </c>
    </row>
    <row r="2" spans="1:6">
      <c r="A2" s="12">
        <v>1</v>
      </c>
      <c r="B2" s="27" t="s">
        <v>50</v>
      </c>
      <c r="C2" s="14" t="s">
        <v>51</v>
      </c>
      <c r="D2" s="14">
        <v>500</v>
      </c>
      <c r="E2" s="13">
        <v>0</v>
      </c>
      <c r="F2" s="18" t="s">
        <v>52</v>
      </c>
    </row>
    <row r="3" spans="1:6">
      <c r="A3" s="12">
        <v>2</v>
      </c>
      <c r="B3" s="27" t="s">
        <v>53</v>
      </c>
      <c r="C3" s="14" t="s">
        <v>51</v>
      </c>
      <c r="D3" s="14">
        <v>500</v>
      </c>
      <c r="E3" s="13">
        <v>45</v>
      </c>
      <c r="F3" s="18" t="s">
        <v>54</v>
      </c>
    </row>
    <row r="4" spans="1:6">
      <c r="A4" s="12">
        <v>3</v>
      </c>
      <c r="B4" s="27" t="s">
        <v>55</v>
      </c>
      <c r="C4" s="14" t="s">
        <v>51</v>
      </c>
      <c r="D4" s="14">
        <v>500</v>
      </c>
      <c r="E4" s="13">
        <v>45</v>
      </c>
      <c r="F4" s="18"/>
    </row>
    <row r="5" spans="1:6">
      <c r="A5" s="12">
        <v>4</v>
      </c>
      <c r="B5" s="30" t="s">
        <v>56</v>
      </c>
      <c r="C5" s="14" t="s">
        <v>51</v>
      </c>
      <c r="D5" s="14">
        <v>500</v>
      </c>
      <c r="E5" s="13">
        <v>30</v>
      </c>
      <c r="F5" s="18" t="s">
        <v>57</v>
      </c>
    </row>
    <row r="6" spans="1:6">
      <c r="A6" s="12">
        <v>5</v>
      </c>
      <c r="B6" s="30" t="s">
        <v>58</v>
      </c>
      <c r="C6" s="14" t="s">
        <v>51</v>
      </c>
      <c r="D6" s="14">
        <v>500</v>
      </c>
      <c r="E6" s="13">
        <v>37.5</v>
      </c>
      <c r="F6" s="18"/>
    </row>
    <row r="7" spans="1:6">
      <c r="A7" s="12">
        <v>6</v>
      </c>
      <c r="B7" s="30" t="s">
        <v>59</v>
      </c>
      <c r="C7" s="14" t="s">
        <v>51</v>
      </c>
      <c r="D7" s="14">
        <v>500</v>
      </c>
      <c r="E7" s="13">
        <v>20</v>
      </c>
      <c r="F7" s="18" t="s">
        <v>60</v>
      </c>
    </row>
    <row r="8" spans="1:6">
      <c r="A8" s="12">
        <v>7</v>
      </c>
      <c r="B8" s="30" t="s">
        <v>61</v>
      </c>
      <c r="C8" s="14" t="s">
        <v>51</v>
      </c>
      <c r="D8" s="14">
        <v>500</v>
      </c>
      <c r="E8" s="13">
        <v>25</v>
      </c>
      <c r="F8" s="18"/>
    </row>
    <row r="9" spans="1:6">
      <c r="A9" s="19">
        <v>8</v>
      </c>
      <c r="B9" s="31" t="s">
        <v>62</v>
      </c>
      <c r="C9" s="20" t="s">
        <v>51</v>
      </c>
      <c r="D9" s="20"/>
      <c r="E9" s="21"/>
      <c r="F9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E293-AC48-4D4B-BECA-3A9294B901D0}">
  <dimension ref="A1:BO26"/>
  <sheetViews>
    <sheetView zoomScale="101" workbookViewId="0">
      <pane xSplit="2" ySplit="2" topLeftCell="V3" activePane="bottomRight" state="frozen"/>
      <selection pane="topRight" activeCell="D1" sqref="D1"/>
      <selection pane="bottomLeft" activeCell="A3" sqref="A3"/>
      <selection pane="bottomRight" activeCell="AF12" sqref="AF12"/>
    </sheetView>
  </sheetViews>
  <sheetFormatPr defaultRowHeight="15" customHeight="1"/>
  <cols>
    <col min="2" max="2" width="13.33203125" customWidth="1"/>
    <col min="7" max="7" width="8.5546875" style="9"/>
    <col min="8" max="8" width="11.6640625" style="12" customWidth="1"/>
    <col min="9" max="9" width="11.6640625" customWidth="1"/>
    <col min="10" max="10" width="11.6640625" style="9" customWidth="1"/>
    <col min="11" max="11" width="11.6640625" style="12" customWidth="1"/>
    <col min="12" max="12" width="11.6640625" customWidth="1"/>
    <col min="13" max="13" width="11.6640625" style="9" customWidth="1"/>
    <col min="14" max="14" width="11.6640625" style="12" customWidth="1"/>
    <col min="15" max="15" width="11.6640625" customWidth="1"/>
    <col min="16" max="16" width="11.6640625" style="9" customWidth="1"/>
    <col min="17" max="17" width="11.6640625" style="12" customWidth="1"/>
    <col min="18" max="18" width="11.6640625" customWidth="1"/>
    <col min="19" max="19" width="11.6640625" style="9" customWidth="1"/>
    <col min="20" max="20" width="11.6640625" style="12" customWidth="1"/>
    <col min="21" max="21" width="11.6640625" customWidth="1"/>
    <col min="22" max="22" width="11.6640625" style="9" customWidth="1"/>
    <col min="23" max="23" width="11.6640625" style="12" customWidth="1"/>
    <col min="24" max="24" width="11.6640625" customWidth="1"/>
    <col min="25" max="25" width="11.6640625" style="9" customWidth="1"/>
    <col min="26" max="26" width="11.6640625" style="12" customWidth="1"/>
    <col min="27" max="29" width="11.6640625" customWidth="1"/>
    <col min="30" max="30" width="11.6640625" style="9" customWidth="1"/>
    <col min="31" max="31" width="11.6640625" style="12" customWidth="1"/>
    <col min="32" max="32" width="11.6640625" customWidth="1"/>
    <col min="33" max="33" width="11.6640625" style="9" customWidth="1"/>
    <col min="34" max="34" width="11.6640625" style="12" customWidth="1"/>
    <col min="35" max="35" width="11.6640625" customWidth="1"/>
    <col min="36" max="36" width="11.6640625" style="9" customWidth="1"/>
    <col min="37" max="37" width="11.6640625" style="12" customWidth="1"/>
    <col min="38" max="38" width="11.6640625" customWidth="1"/>
    <col min="39" max="39" width="11.6640625" style="9" customWidth="1"/>
    <col min="40" max="40" width="11.6640625" style="12" customWidth="1"/>
    <col min="41" max="41" width="11.6640625" customWidth="1"/>
    <col min="42" max="42" width="11.6640625" style="9" customWidth="1"/>
    <col min="43" max="43" width="11.6640625" style="12" customWidth="1"/>
    <col min="44" max="44" width="11.6640625" customWidth="1"/>
    <col min="45" max="45" width="11.6640625" style="9" customWidth="1"/>
    <col min="46" max="46" width="11.6640625" style="12" customWidth="1"/>
    <col min="47" max="47" width="11.6640625" customWidth="1"/>
    <col min="48" max="48" width="11.6640625" style="9" customWidth="1"/>
    <col min="49" max="49" width="46.6640625" style="10" customWidth="1"/>
    <col min="51" max="51" width="10.109375" bestFit="1" customWidth="1"/>
  </cols>
  <sheetData>
    <row r="1" spans="1:67" ht="14.85" customHeight="1">
      <c r="C1" s="48" t="s">
        <v>63</v>
      </c>
      <c r="D1" s="49"/>
      <c r="E1" s="49"/>
      <c r="F1" s="49"/>
      <c r="G1" s="50"/>
      <c r="H1" s="51" t="s">
        <v>64</v>
      </c>
      <c r="I1" s="52"/>
      <c r="J1" s="53"/>
      <c r="K1" s="51" t="s">
        <v>65</v>
      </c>
      <c r="L1" s="52"/>
      <c r="M1" s="53"/>
      <c r="N1" s="51" t="s">
        <v>66</v>
      </c>
      <c r="O1" s="52"/>
      <c r="P1" s="53"/>
      <c r="Q1" s="51" t="s">
        <v>67</v>
      </c>
      <c r="R1" s="52"/>
      <c r="S1" s="53"/>
      <c r="T1" s="51" t="s">
        <v>68</v>
      </c>
      <c r="U1" s="52"/>
      <c r="V1" s="53"/>
      <c r="W1" s="45" t="s">
        <v>69</v>
      </c>
      <c r="X1" s="46"/>
      <c r="Y1" s="47"/>
      <c r="Z1" s="60" t="s">
        <v>37</v>
      </c>
      <c r="AA1" s="61"/>
      <c r="AB1" s="61"/>
      <c r="AC1" s="61"/>
      <c r="AD1" s="62"/>
      <c r="AE1" s="57" t="s">
        <v>70</v>
      </c>
      <c r="AF1" s="58"/>
      <c r="AG1" s="59"/>
      <c r="AH1" s="57" t="s">
        <v>71</v>
      </c>
      <c r="AI1" s="58"/>
      <c r="AJ1" s="59"/>
      <c r="AK1" s="57" t="s">
        <v>72</v>
      </c>
      <c r="AL1" s="58"/>
      <c r="AM1" s="59"/>
      <c r="AN1" s="57" t="s">
        <v>73</v>
      </c>
      <c r="AO1" s="58"/>
      <c r="AP1" s="59"/>
      <c r="AQ1" s="57" t="s">
        <v>74</v>
      </c>
      <c r="AR1" s="58"/>
      <c r="AS1" s="59"/>
      <c r="AT1" s="54" t="s">
        <v>75</v>
      </c>
      <c r="AU1" s="55"/>
      <c r="AV1" s="56"/>
      <c r="AW1" s="24" t="s">
        <v>3</v>
      </c>
      <c r="AX1" s="42" t="s">
        <v>70</v>
      </c>
      <c r="AY1" s="43"/>
      <c r="AZ1" s="44"/>
      <c r="BA1" s="42" t="s">
        <v>71</v>
      </c>
      <c r="BB1" s="43"/>
      <c r="BC1" s="44"/>
      <c r="BD1" s="42" t="s">
        <v>72</v>
      </c>
      <c r="BE1" s="43"/>
      <c r="BF1" s="44"/>
      <c r="BG1" s="42" t="s">
        <v>73</v>
      </c>
      <c r="BH1" s="43"/>
      <c r="BI1" s="44"/>
      <c r="BJ1" s="42" t="s">
        <v>74</v>
      </c>
      <c r="BK1" s="43"/>
      <c r="BL1" s="44"/>
      <c r="BM1" s="39" t="s">
        <v>75</v>
      </c>
      <c r="BN1" s="40"/>
      <c r="BO1" s="41"/>
    </row>
    <row r="2" spans="1:67" ht="30" customHeight="1">
      <c r="A2" s="25" t="s">
        <v>76</v>
      </c>
      <c r="B2" s="25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23" t="s">
        <v>82</v>
      </c>
      <c r="H2" s="33" t="s">
        <v>83</v>
      </c>
      <c r="I2" s="11" t="s">
        <v>84</v>
      </c>
      <c r="J2" s="23" t="s">
        <v>85</v>
      </c>
      <c r="K2" s="33" t="s">
        <v>83</v>
      </c>
      <c r="L2" s="11" t="s">
        <v>84</v>
      </c>
      <c r="M2" s="23" t="s">
        <v>85</v>
      </c>
      <c r="N2" s="33" t="s">
        <v>83</v>
      </c>
      <c r="O2" s="11" t="s">
        <v>84</v>
      </c>
      <c r="P2" s="23" t="s">
        <v>85</v>
      </c>
      <c r="Q2" s="33" t="s">
        <v>83</v>
      </c>
      <c r="R2" s="11" t="s">
        <v>84</v>
      </c>
      <c r="S2" s="23" t="s">
        <v>85</v>
      </c>
      <c r="T2" s="33" t="s">
        <v>83</v>
      </c>
      <c r="U2" s="11" t="s">
        <v>84</v>
      </c>
      <c r="V2" s="23" t="s">
        <v>85</v>
      </c>
      <c r="W2" s="33" t="s">
        <v>83</v>
      </c>
      <c r="X2" s="11" t="s">
        <v>84</v>
      </c>
      <c r="Y2" s="23" t="s">
        <v>85</v>
      </c>
      <c r="Z2" s="33" t="s">
        <v>47</v>
      </c>
      <c r="AA2" s="11" t="s">
        <v>48</v>
      </c>
      <c r="AB2" s="11" t="s">
        <v>49</v>
      </c>
      <c r="AC2" s="23" t="s">
        <v>86</v>
      </c>
      <c r="AD2" s="23" t="s">
        <v>3</v>
      </c>
      <c r="AE2" s="33" t="s">
        <v>83</v>
      </c>
      <c r="AF2" s="11" t="s">
        <v>84</v>
      </c>
      <c r="AG2" s="23" t="s">
        <v>85</v>
      </c>
      <c r="AH2" s="33" t="s">
        <v>83</v>
      </c>
      <c r="AI2" s="11" t="s">
        <v>84</v>
      </c>
      <c r="AJ2" s="23" t="s">
        <v>85</v>
      </c>
      <c r="AK2" s="33" t="s">
        <v>83</v>
      </c>
      <c r="AL2" s="11" t="s">
        <v>84</v>
      </c>
      <c r="AM2" s="23" t="s">
        <v>85</v>
      </c>
      <c r="AN2" s="33" t="s">
        <v>83</v>
      </c>
      <c r="AO2" s="11" t="s">
        <v>84</v>
      </c>
      <c r="AP2" s="23" t="s">
        <v>85</v>
      </c>
      <c r="AQ2" s="33" t="s">
        <v>83</v>
      </c>
      <c r="AR2" s="11" t="s">
        <v>84</v>
      </c>
      <c r="AS2" s="23" t="s">
        <v>85</v>
      </c>
      <c r="AT2" s="33" t="s">
        <v>83</v>
      </c>
      <c r="AU2" s="11" t="s">
        <v>84</v>
      </c>
      <c r="AV2" s="23" t="s">
        <v>85</v>
      </c>
      <c r="AX2" s="11" t="s">
        <v>87</v>
      </c>
    </row>
    <row r="3" spans="1:67" ht="14.4">
      <c r="A3" s="29" t="s">
        <v>50</v>
      </c>
      <c r="B3" t="s">
        <v>91</v>
      </c>
      <c r="C3">
        <v>6.0039999999999996</v>
      </c>
      <c r="D3">
        <v>6.0540000000000003</v>
      </c>
      <c r="E3">
        <v>6.032</v>
      </c>
      <c r="F3">
        <v>1.6559999999999998E-2</v>
      </c>
      <c r="G3" s="9">
        <v>0.4</v>
      </c>
      <c r="H3">
        <f>AVERAGE(6.33, 6.41, 6.53, 6.45)</f>
        <v>6.43</v>
      </c>
      <c r="I3">
        <f>AVERAGE(6.69, 6.78, 6.91, 6.91)</f>
        <v>6.8225000000000007</v>
      </c>
      <c r="J3" s="9">
        <f>AVERAGE(6.55, 6.23, 6.46, 6.46)</f>
        <v>6.4250000000000007</v>
      </c>
      <c r="L3">
        <f>AVERAGE(6.35, 6.29, 6.35, 6.46)</f>
        <v>6.3625000000000007</v>
      </c>
      <c r="T3" s="12">
        <f>AVERAGE(6.52, 6.52, 7, 6.69)</f>
        <v>6.6825000000000001</v>
      </c>
      <c r="U3">
        <f>AVERAGE(6.93, 6.89, 6.83, 6.99)</f>
        <v>6.91</v>
      </c>
      <c r="V3" s="9">
        <f>AVERAGE(6.42, 6.37, 6.3, 6.23)</f>
        <v>6.33</v>
      </c>
      <c r="W3" s="12">
        <f t="shared" ref="W3:Y5" si="0">AVERAGE(H3,K3,N3,Q3,T3)</f>
        <v>6.5562500000000004</v>
      </c>
      <c r="X3">
        <f t="shared" si="0"/>
        <v>6.6983333333333341</v>
      </c>
      <c r="Y3" s="9">
        <f t="shared" si="0"/>
        <v>6.3775000000000004</v>
      </c>
      <c r="Z3" s="12" t="s">
        <v>51</v>
      </c>
      <c r="AA3">
        <v>500</v>
      </c>
      <c r="AB3">
        <v>0</v>
      </c>
      <c r="AC3">
        <v>7</v>
      </c>
      <c r="AD3" s="9" t="s">
        <v>92</v>
      </c>
      <c r="AE3" s="12">
        <f t="shared" ref="AE3:AS3" si="1">AVERAGE(0, 0, 0, 0)</f>
        <v>0</v>
      </c>
      <c r="AF3" s="12">
        <f t="shared" si="1"/>
        <v>0</v>
      </c>
      <c r="AG3" s="12">
        <f t="shared" si="1"/>
        <v>0</v>
      </c>
      <c r="AH3" s="12">
        <f t="shared" si="1"/>
        <v>0</v>
      </c>
      <c r="AI3" s="12">
        <f t="shared" si="1"/>
        <v>0</v>
      </c>
      <c r="AJ3" s="12">
        <f t="shared" si="1"/>
        <v>0</v>
      </c>
      <c r="AK3" s="12">
        <f t="shared" si="1"/>
        <v>0</v>
      </c>
      <c r="AL3" s="12">
        <f t="shared" si="1"/>
        <v>0</v>
      </c>
      <c r="AM3" s="12">
        <f t="shared" si="1"/>
        <v>0</v>
      </c>
      <c r="AN3" s="12">
        <f t="shared" si="1"/>
        <v>0</v>
      </c>
      <c r="AO3" s="12">
        <f t="shared" si="1"/>
        <v>0</v>
      </c>
      <c r="AP3" s="12">
        <f t="shared" si="1"/>
        <v>0</v>
      </c>
      <c r="AQ3" s="12">
        <f t="shared" si="1"/>
        <v>0</v>
      </c>
      <c r="AR3" s="12">
        <f t="shared" si="1"/>
        <v>0</v>
      </c>
      <c r="AS3" s="12">
        <f t="shared" si="1"/>
        <v>0</v>
      </c>
      <c r="AT3" s="12">
        <f>AVERAGE(0, 0, 0, 0)</f>
        <v>0</v>
      </c>
      <c r="AU3">
        <f t="shared" ref="AU3:AV10" si="2">AVERAGE(AF3,AI3,AL3,AO3,AR3)</f>
        <v>0</v>
      </c>
      <c r="AV3">
        <f t="shared" si="2"/>
        <v>0</v>
      </c>
      <c r="AW3">
        <v>0</v>
      </c>
      <c r="BA3">
        <f>AVERAGE(556.6,554.7,539.4,545.9)</f>
        <v>549.15000000000009</v>
      </c>
      <c r="BG3">
        <f>AVERAGE(553.6,561.4,547.5,528.2)</f>
        <v>547.67499999999995</v>
      </c>
      <c r="BJ3">
        <f>AVERAGE(552.9,558.4,569.1,576)</f>
        <v>564.1</v>
      </c>
      <c r="BM3">
        <f>AVERAGE(BA3,BG3,BJ3)</f>
        <v>553.64166666666677</v>
      </c>
    </row>
    <row r="4" spans="1:67" ht="14.4">
      <c r="A4" s="29" t="s">
        <v>59</v>
      </c>
      <c r="B4" t="s">
        <v>91</v>
      </c>
      <c r="C4">
        <v>6.0460000000000003</v>
      </c>
      <c r="D4">
        <v>6.2889999999999997</v>
      </c>
      <c r="E4">
        <v>6.1130000000000004</v>
      </c>
      <c r="F4">
        <v>4.8640000000000003E-2</v>
      </c>
      <c r="G4" s="9">
        <v>2</v>
      </c>
      <c r="H4" s="9">
        <f>AVERAGE(6.8, 6.83, 7.47, 6.92)</f>
        <v>7.004999999999999</v>
      </c>
      <c r="I4" s="9">
        <f>AVERAGE(6.79, 6.32, 6.31, 6.88)</f>
        <v>6.5749999999999993</v>
      </c>
      <c r="J4" s="9">
        <f>AVERAGE(6.9, 6.73, 6.72, 6.56)</f>
        <v>6.7275</v>
      </c>
      <c r="K4" s="9">
        <f>AVERAGE(6.56, 6.41, 6.09, 6.51)</f>
        <v>6.3925000000000001</v>
      </c>
      <c r="L4" s="9">
        <f>AVERAGE(6.78, 6.47, 6.7, 6.33)</f>
        <v>6.57</v>
      </c>
      <c r="M4" s="9">
        <f>AVERAGE(6.53, 6.92, 6.65, 6.57)</f>
        <v>6.6675000000000004</v>
      </c>
      <c r="N4" s="9">
        <f>AVERAGE(6.75, 6.82, 6.6, 6.75)</f>
        <v>6.73</v>
      </c>
      <c r="O4" s="9">
        <f>AVERAGE(6.52, 6.85, 6.4, 6.56)</f>
        <v>6.5824999999999996</v>
      </c>
      <c r="P4" s="9">
        <f>AVERAGE(6.74, 6.56, 6.27, 6.23)</f>
        <v>6.45</v>
      </c>
      <c r="Q4" s="9">
        <f>AVERAGE(6.96, 6.74, 6.81, 6.51)</f>
        <v>6.754999999999999</v>
      </c>
      <c r="R4" s="9">
        <f>AVERAGE(6.54, 6.33, 6.34, 6.46)</f>
        <v>6.4175000000000004</v>
      </c>
      <c r="S4" s="9">
        <f>AVERAGE(6.47, 6.54, 6.76, 6.87)</f>
        <v>6.66</v>
      </c>
      <c r="T4" s="9">
        <f>AVERAGE(6.76, 6.49, 6.54, 6.38)</f>
        <v>6.5424999999999995</v>
      </c>
      <c r="U4" s="9">
        <f>AVERAGE(6.41, 6.18, 6.61, 6.25)</f>
        <v>6.3624999999999998</v>
      </c>
      <c r="V4" s="9">
        <f>AVERAGE(6.32, 6.3, 6.5, 6.6)</f>
        <v>6.43</v>
      </c>
      <c r="W4" s="12">
        <f t="shared" si="0"/>
        <v>6.6849999999999996</v>
      </c>
      <c r="X4">
        <f t="shared" si="0"/>
        <v>6.5015000000000001</v>
      </c>
      <c r="Y4" s="9">
        <f t="shared" si="0"/>
        <v>6.5870000000000006</v>
      </c>
      <c r="Z4" s="12" t="s">
        <v>51</v>
      </c>
      <c r="AA4">
        <v>500</v>
      </c>
      <c r="AB4">
        <v>20</v>
      </c>
      <c r="AC4">
        <v>10</v>
      </c>
      <c r="AD4" s="9" t="s">
        <v>88</v>
      </c>
      <c r="AE4" s="9">
        <v>0</v>
      </c>
      <c r="AF4" s="12">
        <f>AVERAGE(1.61, 1.7, 1.48, 1.74)</f>
        <v>1.6325000000000001</v>
      </c>
      <c r="AG4" s="12">
        <f>AVERAGE(1.7, 1.42, 1.77, 1.66)</f>
        <v>1.6375000000000002</v>
      </c>
      <c r="AH4" s="9">
        <v>0</v>
      </c>
      <c r="AI4" s="12">
        <f>AVERAGE(1.67, 1.77, 1.66, 1.76)</f>
        <v>1.7149999999999999</v>
      </c>
      <c r="AJ4" s="12">
        <f>AVERAGE(1.65, 1.78, 1.87, 1.62)</f>
        <v>1.73</v>
      </c>
      <c r="AK4" s="9">
        <v>0</v>
      </c>
      <c r="AL4" s="12">
        <f>AVERAGE(1.39, 1.24, 1.21, 1.25)</f>
        <v>1.2725</v>
      </c>
      <c r="AM4" s="12">
        <f>AVERAGE(1.9, 1.66, 1.76, 1.6)</f>
        <v>1.73</v>
      </c>
      <c r="AN4" s="9">
        <v>0</v>
      </c>
      <c r="AO4" s="12">
        <f>AVERAGE(1.69, 1.79, 1.94, 1.62)</f>
        <v>1.76</v>
      </c>
      <c r="AP4" s="12">
        <f>AVERAGE(1.85, 1.79, 1.86, 1.8)</f>
        <v>1.825</v>
      </c>
      <c r="AQ4" s="9">
        <v>0</v>
      </c>
      <c r="AR4" s="12">
        <f>AVERAGE(1.38, 1.52, 1.56, 1.46)</f>
        <v>1.48</v>
      </c>
      <c r="AS4" s="12">
        <f>AVERAGE(1.45, 1.46, 1.62, 1.59)</f>
        <v>1.53</v>
      </c>
      <c r="AT4" s="9">
        <v>0</v>
      </c>
      <c r="AU4">
        <f t="shared" si="2"/>
        <v>1.5719999999999998</v>
      </c>
      <c r="AV4">
        <f t="shared" si="2"/>
        <v>1.6905000000000001</v>
      </c>
      <c r="AW4">
        <v>20</v>
      </c>
      <c r="AX4">
        <f>AVERAGE(419.3,424.3,405.8,428)</f>
        <v>419.35</v>
      </c>
      <c r="BD4">
        <f>AVERAGE(507.3,490,454.5,465.9)</f>
        <v>479.42499999999995</v>
      </c>
      <c r="BM4">
        <f>AVERAGE(AX4,BD4)</f>
        <v>449.38749999999999</v>
      </c>
    </row>
    <row r="5" spans="1:67" ht="14.4">
      <c r="A5" s="29" t="s">
        <v>53</v>
      </c>
      <c r="B5" t="s">
        <v>91</v>
      </c>
      <c r="C5">
        <v>6.0140000000000002</v>
      </c>
      <c r="D5">
        <v>6.1130000000000004</v>
      </c>
      <c r="E5">
        <v>6.0410000000000004</v>
      </c>
      <c r="F5">
        <v>2.3099999999999999E-2</v>
      </c>
      <c r="G5" s="9">
        <v>0.8</v>
      </c>
      <c r="H5" s="9">
        <f>AVERAGE(6.83, 6.82, 6.73, 6.64)</f>
        <v>6.7550000000000008</v>
      </c>
      <c r="I5" s="9">
        <f>AVERAGE(6.38, 6.65, 6.68, 6.83)</f>
        <v>6.6349999999999998</v>
      </c>
      <c r="J5" s="9">
        <f>AVERAGE(6.97, 6.63, 6.9, 6.58)</f>
        <v>6.77</v>
      </c>
      <c r="K5" s="9">
        <f>AVERAGE(6.6, 6.78, 6.6, 6.53)</f>
        <v>6.6274999999999995</v>
      </c>
      <c r="L5" s="9">
        <f>AVERAGE(6.27, 6.28, 6.19, 6.41)</f>
        <v>6.2875000000000005</v>
      </c>
      <c r="M5" s="9">
        <f>AVERAGE(6.33, 6.41, 6.42, 6.23)</f>
        <v>6.3475000000000001</v>
      </c>
      <c r="N5" s="9">
        <f>AVERAGE(6.55, 6.74, 6.46, 6.53)</f>
        <v>6.57</v>
      </c>
      <c r="O5" s="9">
        <f>AVERAGE(6.47, 6.66, 6.53, 6.26)</f>
        <v>6.48</v>
      </c>
      <c r="P5" s="9">
        <f>AVERAGE(6.3, 6.41, 6.34, 6.37)</f>
        <v>6.3550000000000004</v>
      </c>
      <c r="Q5" s="9">
        <f>AVERAGE(6.86, 6.68, 6.74, 6.47)</f>
        <v>6.6875</v>
      </c>
      <c r="R5" s="9">
        <f>AVERAGE(6.41, 6.37, 6.46, 6.56)</f>
        <v>6.45</v>
      </c>
      <c r="S5" s="9">
        <f>AVERAGE(6.38, 6.46, 6.56, 6.54)</f>
        <v>6.4849999999999994</v>
      </c>
      <c r="T5" s="9">
        <f>AVERAGE(6.86, 6.93, 6.8, 6.83)</f>
        <v>6.8550000000000004</v>
      </c>
      <c r="U5" s="9">
        <f>AVERAGE(6.11, 6.3, 6.2, 6.06)</f>
        <v>6.1674999999999995</v>
      </c>
      <c r="V5" s="9">
        <f>AVERAGE(6.6, 6.93, 6.31, 6.75)</f>
        <v>6.6475</v>
      </c>
      <c r="W5" s="12">
        <f t="shared" si="0"/>
        <v>6.6990000000000007</v>
      </c>
      <c r="X5">
        <f t="shared" si="0"/>
        <v>6.403999999999999</v>
      </c>
      <c r="Y5" s="9">
        <f t="shared" si="0"/>
        <v>6.520999999999999</v>
      </c>
      <c r="Z5" s="12" t="s">
        <v>51</v>
      </c>
      <c r="AA5">
        <v>500</v>
      </c>
      <c r="AB5">
        <v>0</v>
      </c>
      <c r="AC5">
        <v>10</v>
      </c>
      <c r="AD5" s="9" t="s">
        <v>89</v>
      </c>
      <c r="AE5" s="12">
        <f t="shared" ref="AE5:AS5" si="3">AVERAGE(0, 0, 0, 0)</f>
        <v>0</v>
      </c>
      <c r="AF5" s="12">
        <f t="shared" si="3"/>
        <v>0</v>
      </c>
      <c r="AG5" s="12">
        <f t="shared" si="3"/>
        <v>0</v>
      </c>
      <c r="AH5" s="12">
        <f t="shared" si="3"/>
        <v>0</v>
      </c>
      <c r="AI5" s="12">
        <f t="shared" si="3"/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si="3"/>
        <v>0</v>
      </c>
      <c r="AO5" s="12">
        <f t="shared" si="3"/>
        <v>0</v>
      </c>
      <c r="AP5" s="12">
        <f t="shared" si="3"/>
        <v>0</v>
      </c>
      <c r="AQ5" s="12">
        <f t="shared" si="3"/>
        <v>0</v>
      </c>
      <c r="AR5" s="12">
        <f t="shared" si="3"/>
        <v>0</v>
      </c>
      <c r="AS5" s="12">
        <f t="shared" si="3"/>
        <v>0</v>
      </c>
      <c r="AT5" s="12">
        <f>AVERAGE(0, 0, 0, 0)</f>
        <v>0</v>
      </c>
      <c r="AU5">
        <f t="shared" si="2"/>
        <v>0</v>
      </c>
      <c r="AV5">
        <f t="shared" si="2"/>
        <v>0</v>
      </c>
      <c r="AW5">
        <v>0</v>
      </c>
      <c r="AX5">
        <f>AVERAGE(576.4,583.5,569.9,569.7)</f>
        <v>574.875</v>
      </c>
      <c r="BA5">
        <f>AVERAGE(531.1,534.2,531.9,551.9)</f>
        <v>537.27500000000009</v>
      </c>
      <c r="BD5">
        <f>AVERAGE(554.2,535.7,539.4,512.7)</f>
        <v>535.5</v>
      </c>
      <c r="BG5">
        <f>AVERAGE(540.8,534.9,546.6,564.6)</f>
        <v>546.72499999999991</v>
      </c>
      <c r="BJ5">
        <f>AVERAGE(529.2,552,557.7,554.7)</f>
        <v>548.40000000000009</v>
      </c>
      <c r="BM5">
        <f>AVERAGE(AX5,BA5,BD5,BG5,BJ5)</f>
        <v>548.55500000000006</v>
      </c>
    </row>
    <row r="6" spans="1:67" ht="14.4">
      <c r="A6" s="26" t="s">
        <v>55</v>
      </c>
      <c r="B6" t="s">
        <v>91</v>
      </c>
      <c r="C6">
        <v>6.0279999999999996</v>
      </c>
      <c r="D6">
        <v>6.2530000000000001</v>
      </c>
      <c r="E6">
        <v>6.0940000000000003</v>
      </c>
      <c r="F6">
        <v>4.446E-2</v>
      </c>
      <c r="G6" s="9">
        <v>1.8</v>
      </c>
      <c r="H6" s="9">
        <f>AVERAGE(6.54, 6.62, 6.32, 6.56)</f>
        <v>6.51</v>
      </c>
      <c r="I6" s="9">
        <f>AVERAGE(6.57, 6.58, 6.5, 6.4)</f>
        <v>6.5124999999999993</v>
      </c>
      <c r="J6" s="9">
        <f>AVERAGE(6.33, 6.69, 6.22, 6.73)</f>
        <v>6.4924999999999997</v>
      </c>
      <c r="K6" s="9">
        <f>AVERAGE(6.79, 6.54, 6.76, 6.41)</f>
        <v>6.625</v>
      </c>
      <c r="L6" s="9">
        <f>AVERAGE(6.9, 6.71, 6.46, 6.76)</f>
        <v>6.7074999999999996</v>
      </c>
      <c r="M6" s="9">
        <f>AVERAGE(6.57, 6.7, 6.53, 6.68)</f>
        <v>6.62</v>
      </c>
      <c r="N6" s="9">
        <f>AVERAGE(6.66, 6.82, 6.85, 6.53)</f>
        <v>6.7149999999999999</v>
      </c>
      <c r="O6" s="9">
        <f>AVERAGE(6.76, 6.45, 6.81, 6.34)</f>
        <v>6.59</v>
      </c>
      <c r="P6" s="9">
        <f>AVERAGE(6.72, 6.64, 6.8, 6.73)</f>
        <v>6.7225000000000001</v>
      </c>
      <c r="Q6" s="9">
        <f>AVERAGE(6.78, 6.88, 6.79, 6.92)</f>
        <v>6.8424999999999994</v>
      </c>
      <c r="R6" s="9">
        <f>AVERAGE(6.61, 6.27, 6.72, 6.71)</f>
        <v>6.5774999999999997</v>
      </c>
      <c r="S6" s="9">
        <f>AVERAGE(6.8, 6.63, 6.52, 6.42)</f>
        <v>6.5924999999999994</v>
      </c>
      <c r="T6" s="9">
        <f>AVERAGE(6.68, 6.77, 6.9, 6.83)</f>
        <v>6.7949999999999999</v>
      </c>
      <c r="U6" s="9">
        <f>AVERAGE(6.16, 6.41, 6.92, 6.74)</f>
        <v>6.557500000000001</v>
      </c>
      <c r="V6" s="9">
        <f>AVERAGE(6.32, 6.73, 6.52, 6.81)</f>
        <v>6.5949999999999998</v>
      </c>
      <c r="W6" s="12">
        <f t="shared" ref="W6:Y10" si="4">AVERAGE(H6,K6,N6,Q6,T6)</f>
        <v>6.6975000000000007</v>
      </c>
      <c r="X6">
        <f t="shared" si="4"/>
        <v>6.5890000000000004</v>
      </c>
      <c r="Y6" s="9">
        <f t="shared" si="4"/>
        <v>6.6044999999999998</v>
      </c>
      <c r="Z6" s="12" t="s">
        <v>51</v>
      </c>
      <c r="AA6">
        <v>500</v>
      </c>
      <c r="AB6">
        <v>45</v>
      </c>
      <c r="AC6">
        <v>10</v>
      </c>
      <c r="AD6" s="9" t="s">
        <v>90</v>
      </c>
      <c r="AE6" s="9">
        <v>0</v>
      </c>
      <c r="AF6" s="12">
        <f>AVERAGE(4.99, 5.1, 4.64, 4.64)</f>
        <v>4.8425000000000002</v>
      </c>
      <c r="AG6" s="12">
        <f>AVERAGE(5, 4.87, 4.53, 4.5)</f>
        <v>4.7250000000000005</v>
      </c>
      <c r="AH6" s="9">
        <v>0</v>
      </c>
      <c r="AI6" s="12">
        <f>AVERAGE(4.26, 4.26, 4.34, 4.55)</f>
        <v>4.3525</v>
      </c>
      <c r="AJ6" s="12">
        <f>AVERAGE(4.69, 4.17, 4.1, 4.94)</f>
        <v>4.4749999999999996</v>
      </c>
      <c r="AK6" s="9">
        <v>0</v>
      </c>
      <c r="AL6" s="12">
        <f>AVERAGE(4.82, 4.68, 4.96, 5.1)</f>
        <v>4.8900000000000006</v>
      </c>
      <c r="AM6" s="12">
        <f>AVERAGE(4.22, 4.04, 4.23, 4.35)</f>
        <v>4.21</v>
      </c>
      <c r="AN6" s="9">
        <v>0</v>
      </c>
      <c r="AO6" s="12">
        <f>AVERAGE(4.71, 4.71, 4.4, 4.98)</f>
        <v>4.7</v>
      </c>
      <c r="AP6" s="12">
        <f>AVERAGE(4.67, 4.78, 4.57, 4.86)</f>
        <v>4.72</v>
      </c>
      <c r="AQ6" s="9">
        <v>0</v>
      </c>
      <c r="AR6" s="12">
        <f>AVERAGE(5.27, 5.11, 5.52, 5.46)</f>
        <v>5.34</v>
      </c>
      <c r="AS6" s="12">
        <f>AVERAGE(5.27, 5.24, 5.64, 5.62)</f>
        <v>5.4424999999999999</v>
      </c>
      <c r="AT6" s="9">
        <v>0</v>
      </c>
      <c r="AU6">
        <f t="shared" si="2"/>
        <v>4.8250000000000002</v>
      </c>
      <c r="AV6">
        <f t="shared" si="2"/>
        <v>4.7144999999999992</v>
      </c>
      <c r="AW6">
        <v>45</v>
      </c>
      <c r="AX6">
        <f>AVERAGE(322,295,312,321)</f>
        <v>312.5</v>
      </c>
      <c r="BA6">
        <f>AVERAGE(336,358,375,380)</f>
        <v>362.25</v>
      </c>
      <c r="BD6">
        <f>AVERAGE(445,450,404,414)</f>
        <v>428.25</v>
      </c>
      <c r="BG6">
        <f>AVERAGE(330,326,384,409)</f>
        <v>362.25</v>
      </c>
      <c r="BJ6">
        <f>AVERAGE(422,438,449,443)</f>
        <v>438</v>
      </c>
      <c r="BM6">
        <f>AVERAGE(AX6,BA6,BD6,BG6,BJ6)</f>
        <v>380.65</v>
      </c>
    </row>
    <row r="7" spans="1:67" ht="14.4">
      <c r="A7" s="26" t="s">
        <v>56</v>
      </c>
      <c r="B7" t="s">
        <v>91</v>
      </c>
      <c r="C7">
        <v>6.02</v>
      </c>
      <c r="D7">
        <v>6.0919999999999996</v>
      </c>
      <c r="E7">
        <v>6.0430000000000001</v>
      </c>
      <c r="F7">
        <v>1.7409999999999998E-2</v>
      </c>
      <c r="G7" s="9">
        <v>0.6</v>
      </c>
      <c r="H7" s="9">
        <f>AVERAGE(6.39, 6.56, 6.2, 6.39)</f>
        <v>6.3849999999999998</v>
      </c>
      <c r="I7" s="9">
        <f>AVERAGE(6.36, 6.59, 6.59, 6.63)</f>
        <v>6.5424999999999995</v>
      </c>
      <c r="J7" s="9">
        <f>AVERAGE(6.48, 6.69, 6.58, 6.34)</f>
        <v>6.5225</v>
      </c>
      <c r="K7" s="9">
        <f>AVERAGE(6.56, 6.24, 6.76, 6.25)</f>
        <v>6.4525000000000006</v>
      </c>
      <c r="L7" s="9">
        <f>AVERAGE(6.35, 6.33, 6.41, 6.34)</f>
        <v>6.3574999999999999</v>
      </c>
      <c r="M7" s="9">
        <f>AVERAGE(6.51, 6.48, 6.65, 6.38)</f>
        <v>6.5049999999999999</v>
      </c>
      <c r="N7" s="9">
        <f>AVERAGE(6.67, 6.6, 6.3, 6.82)</f>
        <v>6.5975000000000001</v>
      </c>
      <c r="O7" s="9">
        <f>AVERAGE(6.34, 6.13, 6.33, 6.18)</f>
        <v>6.2449999999999992</v>
      </c>
      <c r="P7" s="9">
        <f>AVERAGE(6.46, 6.57, 6.23, 6.78)</f>
        <v>6.5100000000000007</v>
      </c>
      <c r="Q7" s="9">
        <f>AVERAGE(6.48, 6.58, 6.46, 6.45)</f>
        <v>6.4924999999999997</v>
      </c>
      <c r="R7" s="9">
        <f>AVERAGE(6.57, 6.21, 6.86, 6.19)</f>
        <v>6.4575000000000005</v>
      </c>
      <c r="S7" s="9">
        <f>AVERAGE(6.5, 6.16, 6.53, 6.29)</f>
        <v>6.37</v>
      </c>
      <c r="T7" s="9">
        <f>AVERAGE(6.78, 6.59, 6.48, 6.37)</f>
        <v>6.5550000000000006</v>
      </c>
      <c r="U7" s="9">
        <f>AVERAGE(6.44, 6.87, 6.67, 6.6)</f>
        <v>6.6449999999999996</v>
      </c>
      <c r="V7" s="9">
        <f>AVERAGE(6.23, 6.85, 6.22, 6.14)</f>
        <v>6.36</v>
      </c>
      <c r="W7" s="12">
        <f t="shared" si="4"/>
        <v>6.4965000000000002</v>
      </c>
      <c r="X7">
        <f t="shared" si="4"/>
        <v>6.4494999999999987</v>
      </c>
      <c r="Y7" s="9">
        <f t="shared" si="4"/>
        <v>6.4535000000000009</v>
      </c>
      <c r="Z7" s="12" t="s">
        <v>51</v>
      </c>
      <c r="AA7">
        <v>500</v>
      </c>
      <c r="AB7">
        <v>30</v>
      </c>
      <c r="AC7">
        <v>10</v>
      </c>
      <c r="AE7" s="9">
        <v>0</v>
      </c>
      <c r="AF7" s="12">
        <f>AVERAGE(1.57, 1.77, 1.85, 1.65)</f>
        <v>1.71</v>
      </c>
      <c r="AG7" s="12">
        <f>AVERAGE(1.31, 1.41, 1.19, 1.22)</f>
        <v>1.2825</v>
      </c>
      <c r="AH7" s="9">
        <v>0</v>
      </c>
      <c r="AI7" s="12">
        <f>AVERAGE(2.12, 2.21, 2.53, 2.86)</f>
        <v>2.4299999999999997</v>
      </c>
      <c r="AJ7" s="12">
        <f>AVERAGE(2.27, 2.52, 2.6, 2.26)</f>
        <v>2.4125000000000001</v>
      </c>
      <c r="AK7" s="9">
        <v>0</v>
      </c>
      <c r="AL7" s="12">
        <f>AVERAGE(2.22, 2.54, 2.55, 2.72)</f>
        <v>2.5074999999999998</v>
      </c>
      <c r="AM7" s="12">
        <f>AVERAGE(1.73, 1.72, 1.92, 1.96)</f>
        <v>1.8325</v>
      </c>
      <c r="AN7" s="9">
        <v>0</v>
      </c>
      <c r="AO7" s="12">
        <f>AVERAGE(1.99, 2.16, 2.16, 2.17)</f>
        <v>2.12</v>
      </c>
      <c r="AP7" s="12">
        <f>AVERAGE(1.94, 1.61, 1.65, 1.94)</f>
        <v>1.7849999999999997</v>
      </c>
      <c r="AQ7" s="9">
        <v>0</v>
      </c>
      <c r="AR7" s="12">
        <f>AVERAGE(2.09, 2.36, 2.25, 2.41)</f>
        <v>2.2774999999999999</v>
      </c>
      <c r="AS7" s="12">
        <f>AVERAGE(1.98, 2.06, 2.13, 2.1)</f>
        <v>2.0674999999999999</v>
      </c>
      <c r="AT7" s="9">
        <v>0</v>
      </c>
      <c r="AU7">
        <f t="shared" si="2"/>
        <v>2.2089999999999996</v>
      </c>
      <c r="AV7">
        <f t="shared" si="2"/>
        <v>1.8759999999999999</v>
      </c>
      <c r="AW7">
        <v>30</v>
      </c>
      <c r="AX7">
        <f>AVERAGE(445,513,504,501)</f>
        <v>490.75</v>
      </c>
      <c r="BA7">
        <f>AVERAGE(416,424,417,489)</f>
        <v>436.5</v>
      </c>
      <c r="BD7">
        <f>AVERAGE(410,402,403,401)</f>
        <v>404</v>
      </c>
      <c r="BG7">
        <f>AVERAGE(466,465,419,417)</f>
        <v>441.75</v>
      </c>
      <c r="BJ7">
        <f>AVERAGE(460,454,467,447)</f>
        <v>457</v>
      </c>
      <c r="BM7">
        <f>AVERAGE(AX7,BA7,BD7,BG7,BJ7)</f>
        <v>446</v>
      </c>
    </row>
    <row r="8" spans="1:67" ht="14.4">
      <c r="A8" s="26" t="s">
        <v>58</v>
      </c>
      <c r="B8" t="s">
        <v>91</v>
      </c>
      <c r="C8">
        <v>6.0119999999999996</v>
      </c>
      <c r="D8">
        <v>6.0670000000000002</v>
      </c>
      <c r="E8">
        <v>6.0380000000000003</v>
      </c>
      <c r="F8">
        <v>1.3180000000000001E-2</v>
      </c>
      <c r="G8" s="9">
        <v>0.5</v>
      </c>
      <c r="H8" s="9">
        <f>AVERAGE(6.77, 6.95, 6.39, 6.5)</f>
        <v>6.6524999999999999</v>
      </c>
      <c r="I8" s="9">
        <f>AVERAGE(6.5, 6.24, 6.63, 6.56)</f>
        <v>6.4824999999999999</v>
      </c>
      <c r="J8" s="9">
        <f>AVERAGE(6.22, 6.41, 6.31, 6.55)</f>
        <v>6.3724999999999996</v>
      </c>
      <c r="K8" s="9">
        <f>AVERAGE(6.26, 6.36, 6.46, 6.39)</f>
        <v>6.3675000000000006</v>
      </c>
      <c r="L8" s="9">
        <f>AVERAGE(6.4, 6.67, 6.5, 6.77)</f>
        <v>6.585</v>
      </c>
      <c r="M8" s="9">
        <f>AVERAGE(6.34, 6.35, 6.81, 6.39)</f>
        <v>6.4725000000000001</v>
      </c>
      <c r="N8" s="9">
        <f>AVERAGE(6.88, 6.28, 6.24, 6.24)</f>
        <v>6.41</v>
      </c>
      <c r="O8" s="9">
        <f>AVERAGE(6.85, 6.48, 6.67, 6.56)</f>
        <v>6.64</v>
      </c>
      <c r="P8" s="9">
        <f>AVERAGE(6.7, 6.36, 6.3, 6.67)</f>
        <v>6.5075000000000003</v>
      </c>
      <c r="Q8" s="9">
        <f>AVERAGE(6.75, 6.92, 6.73, 6.54)</f>
        <v>6.7349999999999994</v>
      </c>
      <c r="R8" s="9">
        <f>AVERAGE(6.44, 6.85, 6.89, 6.75)</f>
        <v>6.7324999999999999</v>
      </c>
      <c r="S8" s="9">
        <f>AVERAGE(6.8, 6.57, 6.41, 6.54)</f>
        <v>6.58</v>
      </c>
      <c r="T8" s="9">
        <f>AVERAGE(6.54, 6.52, 6.79, 6.7)</f>
        <v>6.6374999999999993</v>
      </c>
      <c r="U8" s="9">
        <f>AVERAGE(6.49, 6.93, 6.82, 6.14)</f>
        <v>6.5950000000000006</v>
      </c>
      <c r="V8" s="9">
        <f>AVERAGE(6.7, 6.45, 6.58, 6.74)</f>
        <v>6.6174999999999997</v>
      </c>
      <c r="W8" s="12">
        <f t="shared" si="4"/>
        <v>6.5604999999999993</v>
      </c>
      <c r="X8">
        <f t="shared" si="4"/>
        <v>6.6069999999999993</v>
      </c>
      <c r="Y8" s="9">
        <f t="shared" si="4"/>
        <v>6.51</v>
      </c>
      <c r="Z8" s="12" t="s">
        <v>51</v>
      </c>
      <c r="AA8">
        <v>500</v>
      </c>
      <c r="AB8">
        <v>37.5</v>
      </c>
      <c r="AC8">
        <v>10</v>
      </c>
      <c r="AE8" s="9">
        <v>0</v>
      </c>
      <c r="AF8" s="12">
        <f>AVERAGE(3.73, 3.65, 3.65, 3.39)</f>
        <v>3.605</v>
      </c>
      <c r="AG8" s="12">
        <f>AVERAGE(3.03,3.07, 2.95, 3.03)</f>
        <v>3.02</v>
      </c>
      <c r="AH8" s="9">
        <v>0</v>
      </c>
      <c r="AI8" s="12">
        <f>AVERAGE(3.47, 3.47, 3.3, 3.47)</f>
        <v>3.4275000000000002</v>
      </c>
      <c r="AJ8" s="12">
        <f>AVERAGE(3.38, 3.3, 3.61, 3.19)</f>
        <v>3.3699999999999997</v>
      </c>
      <c r="AK8" s="9">
        <v>0</v>
      </c>
      <c r="AL8" s="12">
        <f>AVERAGE(3.56, 3.56, 3.39, 3.65)</f>
        <v>3.54</v>
      </c>
      <c r="AM8" s="12">
        <f>AVERAGE(3.15, 3.38, 4.23, 4.35)</f>
        <v>3.7774999999999999</v>
      </c>
      <c r="AN8" s="9">
        <v>0</v>
      </c>
      <c r="AO8" s="12">
        <f>AVERAGE(3.82, 3.39, 3.21, 3.47)</f>
        <v>3.4725000000000001</v>
      </c>
      <c r="AP8" s="12">
        <f>AVERAGE(3.23, 3.22, 3.26, 3.38)</f>
        <v>3.2725</v>
      </c>
      <c r="AQ8" s="9">
        <v>0</v>
      </c>
      <c r="AR8" s="12">
        <f>AVERAGE(3.39, 3.22, 3.47, 3.56)</f>
        <v>3.41</v>
      </c>
      <c r="AS8" s="12">
        <f>AVERAGE(3.42, 3.53, 3.18, 3.35)</f>
        <v>3.3699999999999997</v>
      </c>
      <c r="AT8" s="9">
        <v>0</v>
      </c>
      <c r="AU8">
        <f t="shared" si="2"/>
        <v>3.4910000000000005</v>
      </c>
      <c r="AV8">
        <f t="shared" si="2"/>
        <v>3.3620000000000005</v>
      </c>
      <c r="AW8">
        <v>37.5</v>
      </c>
      <c r="AX8">
        <f>AVERAGE(338,346,353,346)</f>
        <v>345.75</v>
      </c>
      <c r="BA8">
        <f>AVERAGE(446,427,375,358)</f>
        <v>401.5</v>
      </c>
      <c r="BD8">
        <f>AVERAGE(451.5,441.9,463.6,449.3)</f>
        <v>451.57499999999999</v>
      </c>
      <c r="BG8">
        <f>AVERAGE(333,405,343,334)</f>
        <v>353.75</v>
      </c>
      <c r="BJ8">
        <f>AVERAGE(402,439,447,489)</f>
        <v>444.25</v>
      </c>
      <c r="BM8">
        <f>AVERAGE(AX8,BA8,BD8,BG8,BJ8)</f>
        <v>399.36500000000001</v>
      </c>
    </row>
    <row r="9" spans="1:67" ht="14.4">
      <c r="A9" s="26" t="s">
        <v>61</v>
      </c>
      <c r="B9" t="s">
        <v>91</v>
      </c>
      <c r="C9">
        <v>6.0179999999999998</v>
      </c>
      <c r="D9">
        <v>6.0940000000000003</v>
      </c>
      <c r="E9">
        <v>6.0419999999999998</v>
      </c>
      <c r="F9">
        <v>1.7850000000000001E-2</v>
      </c>
      <c r="G9" s="9">
        <v>0.6</v>
      </c>
      <c r="H9" s="9">
        <f>AVERAGE(6.76, 6.51, 6.35, 6.43)</f>
        <v>6.5124999999999993</v>
      </c>
      <c r="I9" s="9">
        <f>AVERAGE(6.61, 6.64, 6.19, 6.71)</f>
        <v>6.5375000000000005</v>
      </c>
      <c r="J9" s="9">
        <f>AVERAGE(6.69, 6.44, 6.97, 6.74)</f>
        <v>6.7100000000000009</v>
      </c>
      <c r="K9" s="9">
        <f>AVERAGE(6.59, 6.51, 6.8, 6.73)</f>
        <v>6.6574999999999998</v>
      </c>
      <c r="L9" s="9">
        <f>AVERAGE(6.75, 6.63, 6.37, 6.38)</f>
        <v>6.5324999999999998</v>
      </c>
      <c r="M9" s="9">
        <f>AVERAGE(6.37, 6.51, 6.73, 6.55)</f>
        <v>6.54</v>
      </c>
      <c r="N9" s="9">
        <f>AVERAGE(6.47, 6.18, 6.46, 6.87)</f>
        <v>6.4950000000000001</v>
      </c>
      <c r="O9" s="9">
        <f>AVERAGE(6.77, 6.33, 6.29, 6.9)</f>
        <v>6.5724999999999998</v>
      </c>
      <c r="P9" s="9">
        <f>AVERAGE(6.46, 6.58, 6.49, 6.26)</f>
        <v>6.4474999999999998</v>
      </c>
      <c r="Q9" s="9">
        <f>AVERAGE(6.74, 6.36, 6.67, 6.39)</f>
        <v>6.5400000000000009</v>
      </c>
      <c r="R9" s="9">
        <f>AVERAGE(6.5, 6.71, 6.14, 6.73)</f>
        <v>6.5200000000000005</v>
      </c>
      <c r="S9" s="9">
        <f>AVERAGE(6.82, 6.89, 6.59, 6.75)</f>
        <v>6.7625000000000002</v>
      </c>
      <c r="T9" s="9">
        <f>AVERAGE(6.39, 6.34, 6.3, 6.39)</f>
        <v>6.3550000000000004</v>
      </c>
      <c r="U9" s="9">
        <f>AVERAGE(6.82, 6.35, 6.5, 6.59)</f>
        <v>6.5650000000000004</v>
      </c>
      <c r="V9" s="9">
        <f>AVERAGE(6.38, 6.47, 6.48, 6.48)</f>
        <v>6.4524999999999997</v>
      </c>
      <c r="W9" s="12">
        <f t="shared" si="4"/>
        <v>6.5120000000000005</v>
      </c>
      <c r="X9">
        <f t="shared" si="4"/>
        <v>6.5454999999999997</v>
      </c>
      <c r="Y9" s="9">
        <f t="shared" si="4"/>
        <v>6.5824999999999987</v>
      </c>
      <c r="Z9" s="12" t="s">
        <v>51</v>
      </c>
      <c r="AA9">
        <v>500</v>
      </c>
      <c r="AB9">
        <v>25</v>
      </c>
      <c r="AC9">
        <v>10</v>
      </c>
      <c r="AE9" s="9">
        <v>0</v>
      </c>
      <c r="AF9" s="12">
        <f>AVERAGE(2.09, 2.39, 2.3, 2.09)</f>
        <v>2.2175000000000002</v>
      </c>
      <c r="AG9" s="12">
        <f>AVERAGE(1.79, 1.75, 2.06, 2.53)</f>
        <v>2.0324999999999998</v>
      </c>
      <c r="AH9" s="9">
        <v>0</v>
      </c>
      <c r="AI9" s="12">
        <f>AVERAGE(1.7, 1.7, 1.87, 1.91)</f>
        <v>1.7949999999999999</v>
      </c>
      <c r="AJ9" s="12">
        <f>AVERAGE(2.12, 1.75, 1.98, 1.96)</f>
        <v>1.9524999999999999</v>
      </c>
      <c r="AK9" s="9">
        <v>0</v>
      </c>
      <c r="AL9" s="12">
        <f>AVERAGE(1.7, 1.83, 1.91, 1.7)</f>
        <v>1.7850000000000001</v>
      </c>
      <c r="AM9" s="12">
        <f>AVERAGE(1.31, 1.16, 1.26, 1.41)</f>
        <v>1.2849999999999999</v>
      </c>
      <c r="AN9" s="9">
        <v>0</v>
      </c>
      <c r="AO9" s="12">
        <f>AVERAGE(2.17, 2.09, 2.22, 2.22)</f>
        <v>2.1750000000000003</v>
      </c>
      <c r="AP9" s="12">
        <f>AVERAGE(2.48, 2.34, 2.37, 2.22)</f>
        <v>2.3525</v>
      </c>
      <c r="AQ9" s="9">
        <v>0</v>
      </c>
      <c r="AR9" s="12">
        <f>AVERAGE(1.7, 1.91, 2, 1.91)</f>
        <v>1.88</v>
      </c>
      <c r="AS9" s="12">
        <f>AVERAGE(1.92, 1.74, 1.97, 1.95)</f>
        <v>1.895</v>
      </c>
      <c r="AT9" s="9">
        <v>0</v>
      </c>
      <c r="AU9">
        <f t="shared" si="2"/>
        <v>1.9704999999999999</v>
      </c>
      <c r="AV9">
        <f t="shared" si="2"/>
        <v>1.9035</v>
      </c>
      <c r="AW9">
        <v>25</v>
      </c>
      <c r="AX9" s="9">
        <f>AVERAGE(416,391.6,403.1,427.5)</f>
        <v>409.55</v>
      </c>
      <c r="AY9" s="12"/>
      <c r="AZ9" s="12"/>
      <c r="BA9" s="9">
        <f>AVERAGE(444.8,447,433.4,420.8)</f>
        <v>436.49999999999994</v>
      </c>
      <c r="BB9" s="12"/>
      <c r="BC9" s="12"/>
      <c r="BD9" s="9">
        <f>AVERAGE(416.9,443.6,444.2,473.8)</f>
        <v>444.625</v>
      </c>
      <c r="BE9" s="12"/>
      <c r="BF9" s="12"/>
      <c r="BG9" s="9">
        <f>AVERAGE(463.4,446.9,420.1,449.4)</f>
        <v>444.95000000000005</v>
      </c>
      <c r="BH9" s="12"/>
      <c r="BI9" s="12"/>
      <c r="BJ9" s="9">
        <f>AVERAGE(357.5,378.4,430.6,437.5)</f>
        <v>401</v>
      </c>
      <c r="BK9" s="12"/>
      <c r="BL9" s="12"/>
      <c r="BM9" s="12">
        <f>AVERAGE(AX9,BA9,BD9,BG9,BJ9)</f>
        <v>427.32499999999999</v>
      </c>
    </row>
    <row r="10" spans="1:67" ht="14.4">
      <c r="A10" s="26" t="s">
        <v>62</v>
      </c>
      <c r="B10" t="s">
        <v>43</v>
      </c>
      <c r="C10">
        <v>6.0259999999999998</v>
      </c>
      <c r="D10">
        <v>6.1929999999999996</v>
      </c>
      <c r="E10">
        <v>6.08</v>
      </c>
      <c r="F10">
        <v>4.7899999999999998E-2</v>
      </c>
      <c r="G10" s="9">
        <v>1.4</v>
      </c>
      <c r="H10" s="9">
        <f>AVERAGE(6.37, 6.51, 6.83, 6.12)</f>
        <v>6.4575000000000005</v>
      </c>
      <c r="I10" s="9">
        <f>AVERAGE(6.6, 6.59, 6.26, 6.46)</f>
        <v>6.4775</v>
      </c>
      <c r="J10" s="9">
        <f>AVERAGE(6.32, 6.71, 6.78, 6.8)</f>
        <v>6.6525000000000007</v>
      </c>
      <c r="K10" s="9">
        <f>AVERAGE(6.76, 6.55, 6.55, 6.83)</f>
        <v>6.6724999999999994</v>
      </c>
      <c r="L10" s="9">
        <f>AVERAGE(6.75, 6.68, 6.31, 6.79)</f>
        <v>6.6324999999999994</v>
      </c>
      <c r="M10" s="9">
        <f>AVERAGE(6.44, 6.33, 6.45, 6.41)</f>
        <v>6.4074999999999998</v>
      </c>
      <c r="N10" s="9">
        <f>AVERAGE(6.3, 6.29, 6.33, 6.7)</f>
        <v>6.4050000000000002</v>
      </c>
      <c r="O10" s="9">
        <f>AVERAGE(6.47, 6.34, 6.71, 6.79)</f>
        <v>6.5774999999999997</v>
      </c>
      <c r="P10" s="9">
        <f>AVERAGE(6.72, 6.7, 6.3, 6.22)</f>
        <v>6.4849999999999994</v>
      </c>
      <c r="Q10" s="9">
        <f>AVERAGE(6.85,6.98,6.44,6.24)</f>
        <v>6.6274999999999995</v>
      </c>
      <c r="R10" s="9">
        <f>AVERAGE(6.39,6.69,6.54,6.57)</f>
        <v>6.5475000000000003</v>
      </c>
      <c r="S10" s="9">
        <f>AVERAGE(6.65,6.65,6.4,6.38)</f>
        <v>6.5200000000000005</v>
      </c>
      <c r="T10" s="9">
        <f>AVERAGE(6.45, 6.7, 6.88, 6.46)</f>
        <v>6.6225000000000005</v>
      </c>
      <c r="U10" s="9">
        <f>AVERAGE(6.73, 6.58, 6.61, 6.78)</f>
        <v>6.6750000000000007</v>
      </c>
      <c r="V10" s="9">
        <f>AVERAGE(6.77, 6.33, 6.43, 6.22)</f>
        <v>6.4375</v>
      </c>
      <c r="W10" s="12">
        <f t="shared" si="4"/>
        <v>6.5570000000000004</v>
      </c>
      <c r="X10">
        <f t="shared" si="4"/>
        <v>6.581999999999999</v>
      </c>
      <c r="Y10" s="9">
        <f t="shared" si="4"/>
        <v>6.5004999999999997</v>
      </c>
      <c r="AB10">
        <v>55</v>
      </c>
      <c r="AE10" s="9">
        <f>AVERAGE(5.74,5.99,5.62,5.83)</f>
        <v>5.7949999999999999</v>
      </c>
      <c r="AF10" s="12">
        <f>AVERAGE(0.67,0.79,0.92,0.96)</f>
        <v>0.83499999999999996</v>
      </c>
      <c r="AG10" s="12">
        <f>AVERAGE(0.74,0.74,0.79,0.76)</f>
        <v>0.75750000000000006</v>
      </c>
      <c r="AH10" s="9">
        <f>AVERAGE(5.83,5.7,5.87,5.99)</f>
        <v>5.8475000000000001</v>
      </c>
      <c r="AI10" s="12">
        <f>AVERAGE(0.92,0.83,1.08,0.92)</f>
        <v>0.9375</v>
      </c>
      <c r="AJ10" s="12">
        <f>AVERAGE(0.74,0.88,1.06,1.02)</f>
        <v>0.92500000000000004</v>
      </c>
      <c r="AK10" s="9">
        <f>AJ14</f>
        <v>0</v>
      </c>
      <c r="AL10" s="12">
        <f>AVERAGE(0.79,1,1.08,1.12)</f>
        <v>0.99750000000000005</v>
      </c>
      <c r="AM10" s="12">
        <f>AVERAGE(0.91,0.82,0.93,0.86)</f>
        <v>0.88</v>
      </c>
      <c r="AN10" s="9">
        <f>AM14</f>
        <v>0</v>
      </c>
      <c r="AO10" s="12">
        <f>AVERAGE(1,0.75,0.71,0.96)</f>
        <v>0.85499999999999998</v>
      </c>
      <c r="AP10" s="12">
        <f>AVERAGE(0.97,1.02,1.02,0.84)</f>
        <v>0.96249999999999991</v>
      </c>
      <c r="AQ10" s="9">
        <f>AP14</f>
        <v>0</v>
      </c>
      <c r="AR10" s="12">
        <f>AVERAGE(0.96,1.04,0.83,0.87)</f>
        <v>0.92500000000000004</v>
      </c>
      <c r="AS10" s="12">
        <f>AVERAGE(1.08,1.09,0.99,0.95)</f>
        <v>1.0275000000000001</v>
      </c>
      <c r="AT10" s="9">
        <f>AU13</f>
        <v>0</v>
      </c>
      <c r="AU10">
        <f t="shared" si="2"/>
        <v>0.90999999999999992</v>
      </c>
      <c r="AV10">
        <f t="shared" si="2"/>
        <v>0.91050000000000009</v>
      </c>
      <c r="AW10" s="10">
        <v>55</v>
      </c>
    </row>
    <row r="11" spans="1:67" ht="14.4">
      <c r="A11" s="26"/>
      <c r="AE11" s="12">
        <f>H10-AE10</f>
        <v>0.66250000000000053</v>
      </c>
      <c r="AH11" s="12">
        <f>K10-AH10</f>
        <v>0.82499999999999929</v>
      </c>
    </row>
    <row r="12" spans="1:67" ht="18.75" customHeight="1">
      <c r="A12" s="26"/>
      <c r="AF12">
        <f>AVERAGE(AE11, AH11)</f>
        <v>0.74374999999999991</v>
      </c>
    </row>
    <row r="13" spans="1:67" ht="14.4">
      <c r="A13" s="26"/>
    </row>
    <row r="14" spans="1:67" ht="14.4">
      <c r="A14" s="26"/>
    </row>
    <row r="15" spans="1:67" ht="14.4">
      <c r="A15" s="26"/>
    </row>
    <row r="16" spans="1:67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</sheetData>
  <mergeCells count="20">
    <mergeCell ref="AT1:AV1"/>
    <mergeCell ref="AK1:AM1"/>
    <mergeCell ref="AN1:AP1"/>
    <mergeCell ref="AQ1:AS1"/>
    <mergeCell ref="Z1:AD1"/>
    <mergeCell ref="AE1:AG1"/>
    <mergeCell ref="AH1:AJ1"/>
    <mergeCell ref="W1:Y1"/>
    <mergeCell ref="C1:G1"/>
    <mergeCell ref="H1:J1"/>
    <mergeCell ref="K1:M1"/>
    <mergeCell ref="N1:P1"/>
    <mergeCell ref="Q1:S1"/>
    <mergeCell ref="T1:V1"/>
    <mergeCell ref="BM1:BO1"/>
    <mergeCell ref="AX1:AZ1"/>
    <mergeCell ref="BA1:BC1"/>
    <mergeCell ref="BD1:BF1"/>
    <mergeCell ref="BG1:BI1"/>
    <mergeCell ref="BJ1:BL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FBBC-1AF9-4569-A636-023B1A320347}">
  <dimension ref="A1:U18"/>
  <sheetViews>
    <sheetView workbookViewId="0">
      <selection sqref="A1:O10"/>
    </sheetView>
  </sheetViews>
  <sheetFormatPr defaultRowHeight="14.4"/>
  <cols>
    <col min="1" max="21" width="11.6640625" customWidth="1"/>
  </cols>
  <sheetData>
    <row r="1" spans="1:21" ht="14.4" customHeight="1">
      <c r="D1" s="63" t="s">
        <v>93</v>
      </c>
      <c r="E1" s="64"/>
      <c r="F1" s="65"/>
      <c r="G1" s="63" t="s">
        <v>94</v>
      </c>
      <c r="H1" s="64"/>
      <c r="I1" s="65"/>
      <c r="J1" s="63" t="s">
        <v>95</v>
      </c>
      <c r="K1" s="64"/>
      <c r="L1" s="65"/>
      <c r="M1" s="63" t="s">
        <v>96</v>
      </c>
      <c r="N1" s="64"/>
      <c r="O1" s="65"/>
      <c r="P1" s="63" t="s">
        <v>97</v>
      </c>
      <c r="Q1" s="64"/>
      <c r="R1" s="65"/>
      <c r="S1" s="66" t="s">
        <v>98</v>
      </c>
      <c r="T1" s="67"/>
      <c r="U1" s="68"/>
    </row>
    <row r="2" spans="1:21">
      <c r="A2" s="25" t="s">
        <v>76</v>
      </c>
      <c r="B2" s="35" t="s">
        <v>49</v>
      </c>
      <c r="C2" s="36" t="s">
        <v>3</v>
      </c>
      <c r="D2" s="37" t="s">
        <v>83</v>
      </c>
      <c r="E2" s="35" t="s">
        <v>84</v>
      </c>
      <c r="F2" s="36" t="s">
        <v>85</v>
      </c>
      <c r="G2" s="37" t="s">
        <v>83</v>
      </c>
      <c r="H2" s="35" t="s">
        <v>84</v>
      </c>
      <c r="I2" s="36" t="s">
        <v>85</v>
      </c>
      <c r="J2" s="37" t="s">
        <v>83</v>
      </c>
      <c r="K2" s="35" t="s">
        <v>84</v>
      </c>
      <c r="L2" s="36" t="s">
        <v>85</v>
      </c>
      <c r="M2" s="37" t="s">
        <v>83</v>
      </c>
      <c r="N2" s="35" t="s">
        <v>84</v>
      </c>
      <c r="O2" s="36" t="s">
        <v>85</v>
      </c>
      <c r="P2" s="37" t="s">
        <v>83</v>
      </c>
      <c r="Q2" s="35" t="s">
        <v>84</v>
      </c>
      <c r="R2" s="36" t="s">
        <v>85</v>
      </c>
      <c r="S2" s="37" t="s">
        <v>83</v>
      </c>
      <c r="T2" s="35" t="s">
        <v>84</v>
      </c>
      <c r="U2" s="36" t="s">
        <v>85</v>
      </c>
    </row>
    <row r="3" spans="1:21">
      <c r="A3" s="29" t="s">
        <v>50</v>
      </c>
      <c r="B3">
        <v>0</v>
      </c>
      <c r="C3" s="9" t="s">
        <v>92</v>
      </c>
      <c r="D3" s="12">
        <f>'Wafer Status'!H3-'Wafer Status'!AE3</f>
        <v>6.43</v>
      </c>
      <c r="E3" s="12">
        <f>'Wafer Status'!I3-'Wafer Status'!AF3</f>
        <v>6.8225000000000007</v>
      </c>
      <c r="F3" s="12">
        <f>'Wafer Status'!J3-'Wafer Status'!AG3</f>
        <v>6.4250000000000007</v>
      </c>
      <c r="G3" s="12"/>
      <c r="H3" s="12">
        <f>'Wafer Status'!L3-'Wafer Status'!AI3</f>
        <v>6.3625000000000007</v>
      </c>
      <c r="I3" s="12"/>
      <c r="J3" s="12"/>
      <c r="K3" s="12"/>
      <c r="L3" s="12"/>
      <c r="M3" s="12"/>
      <c r="N3" s="12"/>
      <c r="O3" s="12"/>
      <c r="P3" s="12">
        <f>'Wafer Status'!T3-'Wafer Status'!AQ3</f>
        <v>6.6825000000000001</v>
      </c>
      <c r="Q3" s="12">
        <f>'Wafer Status'!U3-'Wafer Status'!AR3</f>
        <v>6.91</v>
      </c>
      <c r="R3" s="12">
        <f>'Wafer Status'!V3-'Wafer Status'!AS3</f>
        <v>6.33</v>
      </c>
      <c r="S3" s="12">
        <f t="shared" ref="S3:U9" si="0">AVERAGE(D3,G3,J3,M3,P3)</f>
        <v>6.5562500000000004</v>
      </c>
      <c r="T3">
        <f t="shared" si="0"/>
        <v>6.6983333333333341</v>
      </c>
      <c r="U3">
        <f t="shared" si="0"/>
        <v>6.3775000000000004</v>
      </c>
    </row>
    <row r="4" spans="1:21">
      <c r="A4" s="29" t="s">
        <v>59</v>
      </c>
      <c r="B4">
        <v>20</v>
      </c>
      <c r="C4" s="9" t="s">
        <v>88</v>
      </c>
      <c r="D4" s="12">
        <f>'Wafer Status'!H4-'Wafer Status'!AE4</f>
        <v>7.004999999999999</v>
      </c>
      <c r="E4" s="12">
        <f>'Wafer Status'!I4-'Wafer Status'!AF4</f>
        <v>4.942499999999999</v>
      </c>
      <c r="F4" s="12">
        <f>'Wafer Status'!J4-'Wafer Status'!AG4</f>
        <v>5.09</v>
      </c>
      <c r="G4" s="12">
        <f>'Wafer Status'!K4-'Wafer Status'!AH4</f>
        <v>6.3925000000000001</v>
      </c>
      <c r="H4" s="12">
        <f>'Wafer Status'!L4-'Wafer Status'!AI4</f>
        <v>4.8550000000000004</v>
      </c>
      <c r="I4" s="12">
        <f>'Wafer Status'!M4-'Wafer Status'!AJ4</f>
        <v>4.9375</v>
      </c>
      <c r="J4" s="12">
        <f>'Wafer Status'!N4-'Wafer Status'!AK4</f>
        <v>6.73</v>
      </c>
      <c r="K4" s="12">
        <f>'Wafer Status'!O4-'Wafer Status'!AL4</f>
        <v>5.31</v>
      </c>
      <c r="L4" s="12">
        <f>'Wafer Status'!P4-'Wafer Status'!AM4</f>
        <v>4.7200000000000006</v>
      </c>
      <c r="M4" s="12">
        <f>'Wafer Status'!Q4-'Wafer Status'!AN4</f>
        <v>6.754999999999999</v>
      </c>
      <c r="N4" s="12">
        <f>'Wafer Status'!R4-'Wafer Status'!AO4</f>
        <v>4.6575000000000006</v>
      </c>
      <c r="O4" s="12">
        <f>'Wafer Status'!S4-'Wafer Status'!AP4</f>
        <v>4.835</v>
      </c>
      <c r="P4" s="12">
        <f>'Wafer Status'!T4-'Wafer Status'!AQ4</f>
        <v>6.5424999999999995</v>
      </c>
      <c r="Q4" s="12">
        <f>'Wafer Status'!U4-'Wafer Status'!AR4</f>
        <v>4.8825000000000003</v>
      </c>
      <c r="R4" s="12">
        <f>'Wafer Status'!V4-'Wafer Status'!AS4</f>
        <v>4.8999999999999995</v>
      </c>
      <c r="S4" s="12">
        <f t="shared" si="0"/>
        <v>6.6849999999999996</v>
      </c>
      <c r="T4">
        <f t="shared" si="0"/>
        <v>4.9295</v>
      </c>
      <c r="U4">
        <f t="shared" si="0"/>
        <v>4.8964999999999996</v>
      </c>
    </row>
    <row r="5" spans="1:21">
      <c r="A5" s="29" t="s">
        <v>53</v>
      </c>
      <c r="B5">
        <v>0</v>
      </c>
      <c r="C5" s="9" t="s">
        <v>89</v>
      </c>
      <c r="D5" s="12">
        <f>'Wafer Status'!H5-'Wafer Status'!AE5</f>
        <v>6.7550000000000008</v>
      </c>
      <c r="E5" s="12">
        <f>'Wafer Status'!I5-'Wafer Status'!AF5</f>
        <v>6.6349999999999998</v>
      </c>
      <c r="F5" s="12">
        <f>'Wafer Status'!J5-'Wafer Status'!AG5</f>
        <v>6.77</v>
      </c>
      <c r="G5" s="12">
        <f>'Wafer Status'!K5-'Wafer Status'!AH5</f>
        <v>6.6274999999999995</v>
      </c>
      <c r="H5" s="12">
        <f>'Wafer Status'!L5-'Wafer Status'!AI5</f>
        <v>6.2875000000000005</v>
      </c>
      <c r="I5" s="12">
        <f>'Wafer Status'!M5-'Wafer Status'!AJ5</f>
        <v>6.3475000000000001</v>
      </c>
      <c r="J5" s="12">
        <f>'Wafer Status'!N5-'Wafer Status'!AK5</f>
        <v>6.57</v>
      </c>
      <c r="K5" s="12">
        <f>'Wafer Status'!O5-'Wafer Status'!AL5</f>
        <v>6.48</v>
      </c>
      <c r="L5" s="12">
        <f>'Wafer Status'!P5-'Wafer Status'!AM5</f>
        <v>6.3550000000000004</v>
      </c>
      <c r="M5" s="12">
        <f>'Wafer Status'!Q5-'Wafer Status'!AN5</f>
        <v>6.6875</v>
      </c>
      <c r="N5" s="12">
        <f>'Wafer Status'!R5-'Wafer Status'!AO5</f>
        <v>6.45</v>
      </c>
      <c r="O5" s="12">
        <f>'Wafer Status'!S5-'Wafer Status'!AP5</f>
        <v>6.4849999999999994</v>
      </c>
      <c r="P5" s="12">
        <f>'Wafer Status'!T5-'Wafer Status'!AQ5</f>
        <v>6.8550000000000004</v>
      </c>
      <c r="Q5" s="12">
        <f>'Wafer Status'!U5-'Wafer Status'!AR5</f>
        <v>6.1674999999999995</v>
      </c>
      <c r="R5" s="12">
        <f>'Wafer Status'!V5-'Wafer Status'!AS5</f>
        <v>6.6475</v>
      </c>
      <c r="S5" s="12">
        <f t="shared" si="0"/>
        <v>6.6990000000000007</v>
      </c>
      <c r="T5">
        <f t="shared" si="0"/>
        <v>6.403999999999999</v>
      </c>
      <c r="U5">
        <f t="shared" si="0"/>
        <v>6.520999999999999</v>
      </c>
    </row>
    <row r="6" spans="1:21">
      <c r="A6" s="26" t="s">
        <v>55</v>
      </c>
      <c r="B6">
        <v>45</v>
      </c>
      <c r="C6" s="9" t="s">
        <v>90</v>
      </c>
      <c r="D6" s="12">
        <f>'Wafer Status'!H6-'Wafer Status'!AE6</f>
        <v>6.51</v>
      </c>
      <c r="E6" s="12">
        <f>'Wafer Status'!I6-'Wafer Status'!AF6</f>
        <v>1.669999999999999</v>
      </c>
      <c r="F6" s="12">
        <f>'Wafer Status'!J6-'Wafer Status'!AG6</f>
        <v>1.7674999999999992</v>
      </c>
      <c r="G6" s="12">
        <f>'Wafer Status'!K6-'Wafer Status'!AH6</f>
        <v>6.625</v>
      </c>
      <c r="H6" s="12">
        <f>'Wafer Status'!L6-'Wafer Status'!AI6</f>
        <v>2.3549999999999995</v>
      </c>
      <c r="I6" s="12">
        <f>'Wafer Status'!M6-'Wafer Status'!AJ6</f>
        <v>2.1450000000000005</v>
      </c>
      <c r="J6" s="12">
        <f>'Wafer Status'!N6-'Wafer Status'!AK6</f>
        <v>6.7149999999999999</v>
      </c>
      <c r="K6" s="12">
        <f>'Wafer Status'!O6-'Wafer Status'!AL6</f>
        <v>1.6999999999999993</v>
      </c>
      <c r="L6" s="12">
        <f>'Wafer Status'!P6-'Wafer Status'!AM6</f>
        <v>2.5125000000000002</v>
      </c>
      <c r="M6" s="12">
        <f>'Wafer Status'!Q6-'Wafer Status'!AN6</f>
        <v>6.8424999999999994</v>
      </c>
      <c r="N6" s="12">
        <f>'Wafer Status'!R6-'Wafer Status'!AO6</f>
        <v>1.8774999999999995</v>
      </c>
      <c r="O6" s="12">
        <f>'Wafer Status'!S6-'Wafer Status'!AP6</f>
        <v>1.8724999999999996</v>
      </c>
      <c r="P6" s="12">
        <f>'Wafer Status'!T6-'Wafer Status'!AQ6</f>
        <v>6.7949999999999999</v>
      </c>
      <c r="Q6" s="12">
        <f>'Wafer Status'!U6-'Wafer Status'!AR6</f>
        <v>1.2175000000000011</v>
      </c>
      <c r="R6" s="12">
        <f>'Wafer Status'!V6-'Wafer Status'!AS6</f>
        <v>1.1524999999999999</v>
      </c>
      <c r="S6" s="12">
        <f t="shared" si="0"/>
        <v>6.6975000000000007</v>
      </c>
      <c r="T6">
        <f t="shared" si="0"/>
        <v>1.7639999999999998</v>
      </c>
      <c r="U6">
        <f t="shared" si="0"/>
        <v>1.89</v>
      </c>
    </row>
    <row r="7" spans="1:21">
      <c r="A7" s="26" t="s">
        <v>56</v>
      </c>
      <c r="B7">
        <v>30</v>
      </c>
      <c r="C7" s="9"/>
      <c r="D7" s="12">
        <f>'Wafer Status'!H7-'Wafer Status'!AE7</f>
        <v>6.3849999999999998</v>
      </c>
      <c r="E7" s="12">
        <f>'Wafer Status'!I7-'Wafer Status'!AF7</f>
        <v>4.8324999999999996</v>
      </c>
      <c r="F7" s="12">
        <f>'Wafer Status'!J7-'Wafer Status'!AG7</f>
        <v>5.24</v>
      </c>
      <c r="G7" s="12">
        <f>'Wafer Status'!K7-'Wafer Status'!AH7</f>
        <v>6.4525000000000006</v>
      </c>
      <c r="H7" s="12">
        <f>'Wafer Status'!L7-'Wafer Status'!AI7</f>
        <v>3.9275000000000002</v>
      </c>
      <c r="I7" s="12">
        <f>'Wafer Status'!M7-'Wafer Status'!AJ7</f>
        <v>4.0924999999999994</v>
      </c>
      <c r="J7" s="12">
        <f>'Wafer Status'!N7-'Wafer Status'!AK7</f>
        <v>6.5975000000000001</v>
      </c>
      <c r="K7" s="12">
        <f>'Wafer Status'!O7-'Wafer Status'!AL7</f>
        <v>3.7374999999999994</v>
      </c>
      <c r="L7" s="12">
        <f>'Wafer Status'!P7-'Wafer Status'!AM7</f>
        <v>4.6775000000000002</v>
      </c>
      <c r="M7" s="12">
        <f>'Wafer Status'!Q7-'Wafer Status'!AN7</f>
        <v>6.4924999999999997</v>
      </c>
      <c r="N7" s="12">
        <f>'Wafer Status'!R7-'Wafer Status'!AO7</f>
        <v>4.3375000000000004</v>
      </c>
      <c r="O7" s="12">
        <f>'Wafer Status'!S7-'Wafer Status'!AP7</f>
        <v>4.5850000000000009</v>
      </c>
      <c r="P7" s="12">
        <f>'Wafer Status'!T7-'Wafer Status'!AQ7</f>
        <v>6.5550000000000006</v>
      </c>
      <c r="Q7" s="12">
        <f>'Wafer Status'!U7-'Wafer Status'!AR7</f>
        <v>4.3674999999999997</v>
      </c>
      <c r="R7" s="12">
        <f>'Wafer Status'!V7-'Wafer Status'!AS7</f>
        <v>4.2925000000000004</v>
      </c>
      <c r="S7" s="12">
        <f t="shared" si="0"/>
        <v>6.4965000000000002</v>
      </c>
      <c r="T7">
        <f t="shared" si="0"/>
        <v>4.2404999999999999</v>
      </c>
      <c r="U7">
        <f t="shared" si="0"/>
        <v>4.5774999999999997</v>
      </c>
    </row>
    <row r="8" spans="1:21">
      <c r="A8" s="26" t="s">
        <v>58</v>
      </c>
      <c r="B8">
        <v>37.5</v>
      </c>
      <c r="C8" s="9"/>
      <c r="D8" s="12">
        <f>'Wafer Status'!H8-'Wafer Status'!AE8</f>
        <v>6.6524999999999999</v>
      </c>
      <c r="E8" s="12">
        <f>'Wafer Status'!I8-'Wafer Status'!AF8</f>
        <v>2.8774999999999999</v>
      </c>
      <c r="F8" s="12">
        <f>'Wafer Status'!J8-'Wafer Status'!AG8</f>
        <v>3.3524999999999996</v>
      </c>
      <c r="G8" s="12">
        <f>'Wafer Status'!K8-'Wafer Status'!AH8</f>
        <v>6.3675000000000006</v>
      </c>
      <c r="H8" s="12">
        <f>'Wafer Status'!L8-'Wafer Status'!AI8</f>
        <v>3.1574999999999998</v>
      </c>
      <c r="I8" s="12">
        <f>'Wafer Status'!M8-'Wafer Status'!AJ8</f>
        <v>3.1025000000000005</v>
      </c>
      <c r="J8" s="12">
        <f>'Wafer Status'!N8-'Wafer Status'!AK8</f>
        <v>6.41</v>
      </c>
      <c r="K8" s="12">
        <f>'Wafer Status'!O8-'Wafer Status'!AL8</f>
        <v>3.0999999999999996</v>
      </c>
      <c r="L8" s="12">
        <f>'Wafer Status'!P8-'Wafer Status'!AM8</f>
        <v>2.7300000000000004</v>
      </c>
      <c r="M8" s="12">
        <f>'Wafer Status'!Q8-'Wafer Status'!AN8</f>
        <v>6.7349999999999994</v>
      </c>
      <c r="N8" s="12">
        <f>'Wafer Status'!R8-'Wafer Status'!AO8</f>
        <v>3.26</v>
      </c>
      <c r="O8" s="12">
        <f>'Wafer Status'!S8-'Wafer Status'!AP8</f>
        <v>3.3075000000000001</v>
      </c>
      <c r="P8" s="12">
        <f>'Wafer Status'!T8-'Wafer Status'!AQ8</f>
        <v>6.6374999999999993</v>
      </c>
      <c r="Q8" s="12">
        <f>'Wafer Status'!U8-'Wafer Status'!AR8</f>
        <v>3.1850000000000005</v>
      </c>
      <c r="R8" s="12">
        <f>'Wafer Status'!V8-'Wafer Status'!AS8</f>
        <v>3.2475000000000001</v>
      </c>
      <c r="S8" s="12">
        <f t="shared" si="0"/>
        <v>6.5604999999999993</v>
      </c>
      <c r="T8">
        <f t="shared" si="0"/>
        <v>3.1160000000000001</v>
      </c>
      <c r="U8">
        <f t="shared" si="0"/>
        <v>3.1480000000000001</v>
      </c>
    </row>
    <row r="9" spans="1:21">
      <c r="A9" s="26" t="s">
        <v>61</v>
      </c>
      <c r="B9">
        <v>25</v>
      </c>
      <c r="C9" s="9"/>
      <c r="D9" s="12">
        <f>'Wafer Status'!H9-'Wafer Status'!AE9</f>
        <v>6.5124999999999993</v>
      </c>
      <c r="E9" s="12">
        <f>'Wafer Status'!I9-'Wafer Status'!AF9</f>
        <v>4.32</v>
      </c>
      <c r="F9" s="12">
        <f>'Wafer Status'!J9-'Wafer Status'!AG9</f>
        <v>4.6775000000000011</v>
      </c>
      <c r="G9" s="12">
        <f>'Wafer Status'!K9-'Wafer Status'!AH9</f>
        <v>6.6574999999999998</v>
      </c>
      <c r="H9" s="12">
        <f>'Wafer Status'!L9-'Wafer Status'!AI9</f>
        <v>4.7374999999999998</v>
      </c>
      <c r="I9" s="12">
        <f>'Wafer Status'!M9-'Wafer Status'!AJ9</f>
        <v>4.5875000000000004</v>
      </c>
      <c r="J9" s="12">
        <f>'Wafer Status'!N9-'Wafer Status'!AK9</f>
        <v>6.4950000000000001</v>
      </c>
      <c r="K9" s="12">
        <f>'Wafer Status'!O9-'Wafer Status'!AL9</f>
        <v>4.7874999999999996</v>
      </c>
      <c r="L9" s="12">
        <f>'Wafer Status'!P9-'Wafer Status'!AM9</f>
        <v>5.1624999999999996</v>
      </c>
      <c r="M9" s="12">
        <f>'Wafer Status'!Q9-'Wafer Status'!AN9</f>
        <v>6.5400000000000009</v>
      </c>
      <c r="N9" s="12">
        <f>'Wafer Status'!R9-'Wafer Status'!AO9</f>
        <v>4.3450000000000006</v>
      </c>
      <c r="O9" s="12">
        <f>'Wafer Status'!S9-'Wafer Status'!AP9</f>
        <v>4.41</v>
      </c>
      <c r="P9" s="12">
        <f>'Wafer Status'!T9-'Wafer Status'!AQ9</f>
        <v>6.3550000000000004</v>
      </c>
      <c r="Q9" s="12">
        <f>'Wafer Status'!U9-'Wafer Status'!AR9</f>
        <v>4.6850000000000005</v>
      </c>
      <c r="R9" s="12">
        <f>'Wafer Status'!V9-'Wafer Status'!AS9</f>
        <v>4.5574999999999992</v>
      </c>
      <c r="S9" s="12">
        <f t="shared" si="0"/>
        <v>6.5120000000000005</v>
      </c>
      <c r="T9">
        <f t="shared" si="0"/>
        <v>4.5750000000000002</v>
      </c>
      <c r="U9">
        <f t="shared" si="0"/>
        <v>4.6789999999999994</v>
      </c>
    </row>
    <row r="10" spans="1:21">
      <c r="A10" s="26" t="s">
        <v>62</v>
      </c>
      <c r="B10">
        <v>55</v>
      </c>
      <c r="C10" s="9"/>
      <c r="D10" s="12">
        <f>'Wafer Status'!AE10</f>
        <v>5.7949999999999999</v>
      </c>
      <c r="E10" s="12">
        <f>'Wafer Status'!AF10</f>
        <v>0.83499999999999996</v>
      </c>
      <c r="F10" s="12">
        <f>'Wafer Status'!AG10</f>
        <v>0.75750000000000006</v>
      </c>
      <c r="G10" s="12">
        <f>'Wafer Status'!AH10</f>
        <v>5.8475000000000001</v>
      </c>
      <c r="H10" s="12">
        <f>'Wafer Status'!AI10</f>
        <v>0.9375</v>
      </c>
      <c r="I10" s="12">
        <f>'Wafer Status'!AJ10</f>
        <v>0.92500000000000004</v>
      </c>
      <c r="J10" s="12">
        <f>'Wafer Status'!AK10</f>
        <v>0</v>
      </c>
      <c r="K10" s="12">
        <f>'Wafer Status'!AL10</f>
        <v>0.99750000000000005</v>
      </c>
      <c r="L10" s="12">
        <f>'Wafer Status'!AM10</f>
        <v>0.88</v>
      </c>
      <c r="M10" s="12">
        <f>'Wafer Status'!AN10</f>
        <v>0</v>
      </c>
      <c r="N10" s="12">
        <f>'Wafer Status'!AO10</f>
        <v>0.85499999999999998</v>
      </c>
      <c r="O10" s="12">
        <f>'Wafer Status'!AP10</f>
        <v>0.96249999999999991</v>
      </c>
      <c r="P10" s="12">
        <f>'Wafer Status'!AQ10</f>
        <v>0</v>
      </c>
      <c r="Q10" s="12">
        <f>'Wafer Status'!AR10</f>
        <v>0.92500000000000004</v>
      </c>
      <c r="R10" s="12">
        <f>'Wafer Status'!AS10</f>
        <v>1.0275000000000001</v>
      </c>
      <c r="S10" s="12">
        <f>'Wafer Status'!AT10</f>
        <v>0</v>
      </c>
      <c r="T10" s="12">
        <f>'Wafer Status'!AU10</f>
        <v>0.90999999999999992</v>
      </c>
      <c r="U10" s="12">
        <f>'Wafer Status'!AV10</f>
        <v>0.91050000000000009</v>
      </c>
    </row>
    <row r="18" spans="5:5">
      <c r="E18" s="38"/>
    </row>
  </sheetData>
  <mergeCells count="6">
    <mergeCell ref="S1:U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2E24-E40F-4A01-AD66-AB8BA9207B1F}">
  <dimension ref="A1:U18"/>
  <sheetViews>
    <sheetView tabSelected="1" workbookViewId="0">
      <selection activeCell="S10" sqref="S10"/>
    </sheetView>
  </sheetViews>
  <sheetFormatPr defaultRowHeight="14.4"/>
  <cols>
    <col min="1" max="21" width="11.6640625" customWidth="1"/>
  </cols>
  <sheetData>
    <row r="1" spans="1:21" ht="14.4" customHeight="1">
      <c r="D1" s="63" t="s">
        <v>93</v>
      </c>
      <c r="E1" s="64"/>
      <c r="F1" s="65"/>
      <c r="G1" s="63" t="s">
        <v>94</v>
      </c>
      <c r="H1" s="64"/>
      <c r="I1" s="65"/>
      <c r="J1" s="63" t="s">
        <v>95</v>
      </c>
      <c r="K1" s="64"/>
      <c r="L1" s="65"/>
      <c r="M1" s="63" t="s">
        <v>96</v>
      </c>
      <c r="N1" s="64"/>
      <c r="O1" s="65"/>
      <c r="P1" s="63" t="s">
        <v>97</v>
      </c>
      <c r="Q1" s="64"/>
      <c r="R1" s="65"/>
      <c r="S1" s="66" t="s">
        <v>98</v>
      </c>
      <c r="T1" s="67"/>
      <c r="U1" s="68"/>
    </row>
    <row r="2" spans="1:21">
      <c r="A2" s="25" t="s">
        <v>76</v>
      </c>
      <c r="B2" s="35" t="s">
        <v>49</v>
      </c>
      <c r="C2" s="36" t="s">
        <v>3</v>
      </c>
      <c r="D2" s="37" t="s">
        <v>83</v>
      </c>
      <c r="E2" s="35" t="s">
        <v>84</v>
      </c>
      <c r="F2" s="36" t="s">
        <v>85</v>
      </c>
      <c r="G2" s="37" t="s">
        <v>83</v>
      </c>
      <c r="H2" s="35" t="s">
        <v>84</v>
      </c>
      <c r="I2" s="36" t="s">
        <v>85</v>
      </c>
      <c r="J2" s="37" t="s">
        <v>83</v>
      </c>
      <c r="K2" s="35" t="s">
        <v>84</v>
      </c>
      <c r="L2" s="36" t="s">
        <v>85</v>
      </c>
      <c r="M2" s="37" t="s">
        <v>83</v>
      </c>
      <c r="N2" s="35" t="s">
        <v>84</v>
      </c>
      <c r="O2" s="36" t="s">
        <v>85</v>
      </c>
      <c r="P2" s="37" t="s">
        <v>83</v>
      </c>
      <c r="Q2" s="35" t="s">
        <v>84</v>
      </c>
      <c r="R2" s="36" t="s">
        <v>85</v>
      </c>
      <c r="S2" s="37" t="s">
        <v>83</v>
      </c>
      <c r="T2" s="35" t="s">
        <v>84</v>
      </c>
      <c r="U2" s="36" t="s">
        <v>85</v>
      </c>
    </row>
    <row r="3" spans="1:21">
      <c r="A3" s="29" t="s">
        <v>50</v>
      </c>
      <c r="B3">
        <v>0</v>
      </c>
      <c r="C3" s="9" t="s">
        <v>92</v>
      </c>
      <c r="D3" s="12">
        <f>'Wafer Status'!H3-'Wafer Status'!AE3-'Wafer Status'!$AF$12</f>
        <v>5.6862499999999994</v>
      </c>
      <c r="E3" s="12">
        <f>'Wafer Status'!I3-'Wafer Status'!AF3-'Wafer Status'!$AF$12</f>
        <v>6.0787500000000012</v>
      </c>
      <c r="F3" s="12">
        <f>'Wafer Status'!J3-'Wafer Status'!AG3-'Wafer Status'!$AF$12</f>
        <v>5.6812500000000004</v>
      </c>
      <c r="G3" s="12"/>
      <c r="H3" s="12">
        <f>'Wafer Status'!L3-'Wafer Status'!AI3-'Wafer Status'!$AF$12</f>
        <v>5.6187500000000004</v>
      </c>
      <c r="I3" s="12"/>
      <c r="J3" s="12"/>
      <c r="K3" s="12"/>
      <c r="L3" s="12"/>
      <c r="M3" s="12"/>
      <c r="N3" s="12"/>
      <c r="O3" s="12"/>
      <c r="P3" s="12">
        <f>'Wafer Status'!T3-'Wafer Status'!AQ3-'Wafer Status'!$AF$12</f>
        <v>5.9387500000000006</v>
      </c>
      <c r="Q3" s="12">
        <f>'Wafer Status'!U3-'Wafer Status'!AR3-'Wafer Status'!$AF$12</f>
        <v>6.1662499999999998</v>
      </c>
      <c r="R3" s="12">
        <f>'Wafer Status'!V3-'Wafer Status'!AS3-'Wafer Status'!$AF$12</f>
        <v>5.5862499999999997</v>
      </c>
      <c r="S3" s="12">
        <f>'Wafer Status'!W3-'Wafer Status'!AT3-'Wafer Status'!$AF$12</f>
        <v>5.8125</v>
      </c>
      <c r="T3" s="12">
        <f>'Wafer Status'!X3-'Wafer Status'!AU3-'Wafer Status'!$AF$12</f>
        <v>5.9545833333333338</v>
      </c>
      <c r="U3" s="12">
        <f>'Wafer Status'!Y3-'Wafer Status'!AV3-'Wafer Status'!$AF$12</f>
        <v>5.6337500000000009</v>
      </c>
    </row>
    <row r="4" spans="1:21">
      <c r="A4" s="29" t="s">
        <v>59</v>
      </c>
      <c r="B4">
        <v>20</v>
      </c>
      <c r="C4" s="9" t="s">
        <v>88</v>
      </c>
      <c r="D4" s="12">
        <f>'Wafer Status'!H4-'Wafer Status'!AE4-'Wafer Status'!$AF$12</f>
        <v>6.2612499999999986</v>
      </c>
      <c r="E4" s="12">
        <f>'Wafer Status'!I4-'Wafer Status'!AF4-'Wafer Status'!$AF$12</f>
        <v>4.1987499999999986</v>
      </c>
      <c r="F4" s="12">
        <f>'Wafer Status'!J4-'Wafer Status'!AG4-'Wafer Status'!$AF$12</f>
        <v>4.3462499999999995</v>
      </c>
      <c r="G4" s="12">
        <f>'Wafer Status'!K4-'Wafer Status'!AH4-'Wafer Status'!$AF$12</f>
        <v>5.6487499999999997</v>
      </c>
      <c r="H4" s="12">
        <f>'Wafer Status'!L4-'Wafer Status'!AI4-'Wafer Status'!$AF$12</f>
        <v>4.1112500000000001</v>
      </c>
      <c r="I4" s="12">
        <f>'Wafer Status'!M4-'Wafer Status'!AJ4-'Wafer Status'!$AF$12</f>
        <v>4.1937499999999996</v>
      </c>
      <c r="J4" s="12">
        <f>'Wafer Status'!N4-'Wafer Status'!AK4-'Wafer Status'!$AF$12</f>
        <v>5.9862500000000001</v>
      </c>
      <c r="K4" s="12">
        <f>'Wafer Status'!O4-'Wafer Status'!AL4-'Wafer Status'!$AF$12</f>
        <v>4.5662500000000001</v>
      </c>
      <c r="L4" s="12">
        <f>'Wafer Status'!P4-'Wafer Status'!AM4-'Wafer Status'!$AF$12</f>
        <v>3.9762500000000007</v>
      </c>
      <c r="M4" s="12">
        <f>'Wafer Status'!Q4-'Wafer Status'!AN4-'Wafer Status'!$AF$12</f>
        <v>6.0112499999999986</v>
      </c>
      <c r="N4" s="12">
        <f>'Wafer Status'!R4-'Wafer Status'!AO4-'Wafer Status'!$AF$12</f>
        <v>3.9137500000000007</v>
      </c>
      <c r="O4" s="12">
        <f>'Wafer Status'!S4-'Wafer Status'!AP4-'Wafer Status'!$AF$12</f>
        <v>4.0912500000000005</v>
      </c>
      <c r="P4" s="12">
        <f>'Wafer Status'!T4-'Wafer Status'!AQ4-'Wafer Status'!$AF$12</f>
        <v>5.7987500000000001</v>
      </c>
      <c r="Q4" s="12">
        <f>'Wafer Status'!U4-'Wafer Status'!AR4-'Wafer Status'!$AF$12</f>
        <v>4.1387499999999999</v>
      </c>
      <c r="R4" s="12">
        <f>'Wafer Status'!V4-'Wafer Status'!AS4-'Wafer Status'!$AF$12</f>
        <v>4.15625</v>
      </c>
      <c r="S4" s="12">
        <f>'Wafer Status'!W4-'Wafer Status'!AT4-'Wafer Status'!$AF$12</f>
        <v>5.9412500000000001</v>
      </c>
      <c r="T4" s="12">
        <f>'Wafer Status'!X4-'Wafer Status'!AU4-'Wafer Status'!$AF$12</f>
        <v>4.1857500000000005</v>
      </c>
      <c r="U4" s="12">
        <f>'Wafer Status'!Y4-'Wafer Status'!AV4-'Wafer Status'!$AF$12</f>
        <v>4.1527500000000011</v>
      </c>
    </row>
    <row r="5" spans="1:21">
      <c r="A5" s="29" t="s">
        <v>53</v>
      </c>
      <c r="B5">
        <v>0</v>
      </c>
      <c r="C5" s="9" t="s">
        <v>89</v>
      </c>
      <c r="D5" s="12">
        <f>'Wafer Status'!H5-'Wafer Status'!AE5-'Wafer Status'!$AF$12</f>
        <v>6.0112500000000004</v>
      </c>
      <c r="E5" s="12">
        <f>'Wafer Status'!I5-'Wafer Status'!AF5-'Wafer Status'!$AF$12</f>
        <v>5.8912499999999994</v>
      </c>
      <c r="F5" s="12">
        <f>'Wafer Status'!J5-'Wafer Status'!AG5-'Wafer Status'!$AF$12</f>
        <v>6.0262499999999992</v>
      </c>
      <c r="G5" s="12">
        <f>'Wafer Status'!K5-'Wafer Status'!AH5-'Wafer Status'!$AF$12</f>
        <v>5.8837499999999991</v>
      </c>
      <c r="H5" s="12">
        <f>'Wafer Status'!L5-'Wafer Status'!AI5-'Wafer Status'!$AF$12</f>
        <v>5.5437500000000011</v>
      </c>
      <c r="I5" s="12">
        <f>'Wafer Status'!M5-'Wafer Status'!AJ5-'Wafer Status'!$AF$12</f>
        <v>5.6037499999999998</v>
      </c>
      <c r="J5" s="12">
        <f>'Wafer Status'!N5-'Wafer Status'!AK5-'Wafer Status'!$AF$12</f>
        <v>5.8262499999999999</v>
      </c>
      <c r="K5" s="12">
        <f>'Wafer Status'!O5-'Wafer Status'!AL5-'Wafer Status'!$AF$12</f>
        <v>5.7362500000000001</v>
      </c>
      <c r="L5" s="12">
        <f>'Wafer Status'!P5-'Wafer Status'!AM5-'Wafer Status'!$AF$12</f>
        <v>5.6112500000000001</v>
      </c>
      <c r="M5" s="12">
        <f>'Wafer Status'!Q5-'Wafer Status'!AN5-'Wafer Status'!$AF$12</f>
        <v>5.9437499999999996</v>
      </c>
      <c r="N5" s="12">
        <f>'Wafer Status'!R5-'Wafer Status'!AO5-'Wafer Status'!$AF$12</f>
        <v>5.7062500000000007</v>
      </c>
      <c r="O5" s="12">
        <f>'Wafer Status'!S5-'Wafer Status'!AP5-'Wafer Status'!$AF$12</f>
        <v>5.7412499999999991</v>
      </c>
      <c r="P5" s="12">
        <f>'Wafer Status'!T5-'Wafer Status'!AQ5-'Wafer Status'!$AF$12</f>
        <v>6.1112500000000001</v>
      </c>
      <c r="Q5" s="12">
        <f>'Wafer Status'!U5-'Wafer Status'!AR5-'Wafer Status'!$AF$12</f>
        <v>5.4237500000000001</v>
      </c>
      <c r="R5" s="12">
        <f>'Wafer Status'!V5-'Wafer Status'!AS5-'Wafer Status'!$AF$12</f>
        <v>5.9037500000000005</v>
      </c>
      <c r="S5" s="12">
        <f>'Wafer Status'!W5-'Wafer Status'!AT5-'Wafer Status'!$AF$12</f>
        <v>5.9552500000000013</v>
      </c>
      <c r="T5" s="12">
        <f>'Wafer Status'!X5-'Wafer Status'!AU5-'Wafer Status'!$AF$12</f>
        <v>5.6602499999999996</v>
      </c>
      <c r="U5" s="12">
        <f>'Wafer Status'!Y5-'Wafer Status'!AV5-'Wafer Status'!$AF$12</f>
        <v>5.7772499999999987</v>
      </c>
    </row>
    <row r="6" spans="1:21">
      <c r="A6" s="26" t="s">
        <v>55</v>
      </c>
      <c r="B6">
        <v>45</v>
      </c>
      <c r="C6" s="9" t="s">
        <v>90</v>
      </c>
      <c r="D6" s="12">
        <f>'Wafer Status'!H6-'Wafer Status'!AE6-'Wafer Status'!$AF$12</f>
        <v>5.7662499999999994</v>
      </c>
      <c r="E6" s="12">
        <f>'Wafer Status'!I6-'Wafer Status'!AF6-'Wafer Status'!$AF$12</f>
        <v>0.92624999999999913</v>
      </c>
      <c r="F6" s="12">
        <f>'Wafer Status'!J6-'Wafer Status'!AG6-'Wafer Status'!$AF$12</f>
        <v>1.0237499999999993</v>
      </c>
      <c r="G6" s="12">
        <f>'Wafer Status'!K6-'Wafer Status'!AH6-'Wafer Status'!$AF$12</f>
        <v>5.8812499999999996</v>
      </c>
      <c r="H6" s="12">
        <f>'Wafer Status'!L6-'Wafer Status'!AI6-'Wafer Status'!$AF$12</f>
        <v>1.6112499999999996</v>
      </c>
      <c r="I6" s="12">
        <f>'Wafer Status'!M6-'Wafer Status'!AJ6-'Wafer Status'!$AF$12</f>
        <v>1.4012500000000006</v>
      </c>
      <c r="J6" s="12">
        <f>'Wafer Status'!N6-'Wafer Status'!AK6-'Wafer Status'!$AF$12</f>
        <v>5.9712499999999995</v>
      </c>
      <c r="K6" s="12">
        <f>'Wafer Status'!O6-'Wafer Status'!AL6-'Wafer Status'!$AF$12</f>
        <v>0.95624999999999938</v>
      </c>
      <c r="L6" s="12">
        <f>'Wafer Status'!P6-'Wafer Status'!AM6-'Wafer Status'!$AF$12</f>
        <v>1.7687500000000003</v>
      </c>
      <c r="M6" s="12">
        <f>'Wafer Status'!Q6-'Wafer Status'!AN6-'Wafer Status'!$AF$12</f>
        <v>6.098749999999999</v>
      </c>
      <c r="N6" s="12">
        <f>'Wafer Status'!R6-'Wafer Status'!AO6-'Wafer Status'!$AF$12</f>
        <v>1.1337499999999996</v>
      </c>
      <c r="O6" s="12">
        <f>'Wafer Status'!S6-'Wafer Status'!AP6-'Wafer Status'!$AF$12</f>
        <v>1.1287499999999997</v>
      </c>
      <c r="P6" s="12">
        <f>'Wafer Status'!T6-'Wafer Status'!AQ6-'Wafer Status'!$AF$12</f>
        <v>6.0512499999999996</v>
      </c>
      <c r="Q6" s="12">
        <f>'Wafer Status'!U6-'Wafer Status'!AR6-'Wafer Status'!$AF$12</f>
        <v>0.47375000000000123</v>
      </c>
      <c r="R6" s="12">
        <f>'Wafer Status'!V6-'Wafer Status'!AS6-'Wafer Status'!$AF$12</f>
        <v>0.40874999999999995</v>
      </c>
      <c r="S6" s="12">
        <f>'Wafer Status'!W6-'Wafer Status'!AT6-'Wafer Status'!$AF$12</f>
        <v>5.9537500000000012</v>
      </c>
      <c r="T6" s="12">
        <f>'Wafer Status'!X6-'Wafer Status'!AU6-'Wafer Status'!$AF$12</f>
        <v>1.0202500000000003</v>
      </c>
      <c r="U6" s="12">
        <f>'Wafer Status'!Y6-'Wafer Status'!AV6-'Wafer Status'!$AF$12</f>
        <v>1.1462500000000007</v>
      </c>
    </row>
    <row r="7" spans="1:21">
      <c r="A7" s="26" t="s">
        <v>56</v>
      </c>
      <c r="B7">
        <v>30</v>
      </c>
      <c r="C7" s="9"/>
      <c r="D7" s="12">
        <f>'Wafer Status'!H7-'Wafer Status'!AE7-'Wafer Status'!$AF$12</f>
        <v>5.6412499999999994</v>
      </c>
      <c r="E7" s="12">
        <f>'Wafer Status'!I7-'Wafer Status'!AF7-'Wafer Status'!$AF$12</f>
        <v>4.0887499999999992</v>
      </c>
      <c r="F7" s="12">
        <f>'Wafer Status'!J7-'Wafer Status'!AG7-'Wafer Status'!$AF$12</f>
        <v>4.4962499999999999</v>
      </c>
      <c r="G7" s="12">
        <f>'Wafer Status'!K7-'Wafer Status'!AH7-'Wafer Status'!$AF$12</f>
        <v>5.7087500000000002</v>
      </c>
      <c r="H7" s="12">
        <f>'Wafer Status'!L7-'Wafer Status'!AI7-'Wafer Status'!$AF$12</f>
        <v>3.1837500000000003</v>
      </c>
      <c r="I7" s="12">
        <f>'Wafer Status'!M7-'Wafer Status'!AJ7-'Wafer Status'!$AF$12</f>
        <v>3.3487499999999994</v>
      </c>
      <c r="J7" s="12">
        <f>'Wafer Status'!N7-'Wafer Status'!AK7-'Wafer Status'!$AF$12</f>
        <v>5.8537499999999998</v>
      </c>
      <c r="K7" s="12">
        <f>'Wafer Status'!O7-'Wafer Status'!AL7-'Wafer Status'!$AF$12</f>
        <v>2.9937499999999995</v>
      </c>
      <c r="L7" s="12">
        <f>'Wafer Status'!P7-'Wafer Status'!AM7-'Wafer Status'!$AF$12</f>
        <v>3.9337500000000003</v>
      </c>
      <c r="M7" s="12">
        <f>'Wafer Status'!Q7-'Wafer Status'!AN7-'Wafer Status'!$AF$12</f>
        <v>5.7487499999999994</v>
      </c>
      <c r="N7" s="12">
        <f>'Wafer Status'!R7-'Wafer Status'!AO7-'Wafer Status'!$AF$12</f>
        <v>3.5937500000000004</v>
      </c>
      <c r="O7" s="12">
        <f>'Wafer Status'!S7-'Wafer Status'!AP7-'Wafer Status'!$AF$12</f>
        <v>3.8412500000000009</v>
      </c>
      <c r="P7" s="12">
        <f>'Wafer Status'!T7-'Wafer Status'!AQ7-'Wafer Status'!$AF$12</f>
        <v>5.8112500000000011</v>
      </c>
      <c r="Q7" s="12">
        <f>'Wafer Status'!U7-'Wafer Status'!AR7-'Wafer Status'!$AF$12</f>
        <v>3.6237499999999998</v>
      </c>
      <c r="R7" s="12">
        <f>'Wafer Status'!V7-'Wafer Status'!AS7-'Wafer Status'!$AF$12</f>
        <v>3.5487500000000005</v>
      </c>
      <c r="S7" s="12">
        <f>'Wafer Status'!W7-'Wafer Status'!AT7-'Wafer Status'!$AF$12</f>
        <v>5.7527500000000007</v>
      </c>
      <c r="T7" s="12">
        <f>'Wafer Status'!X7-'Wafer Status'!AU7-'Wafer Status'!$AF$12</f>
        <v>3.4967499999999991</v>
      </c>
      <c r="U7" s="12">
        <f>'Wafer Status'!Y7-'Wafer Status'!AV7-'Wafer Status'!$AF$12</f>
        <v>3.8337500000000007</v>
      </c>
    </row>
    <row r="8" spans="1:21">
      <c r="A8" s="26" t="s">
        <v>58</v>
      </c>
      <c r="B8">
        <v>37.5</v>
      </c>
      <c r="C8" s="9"/>
      <c r="D8" s="12">
        <f>'Wafer Status'!H8-'Wafer Status'!AE8-'Wafer Status'!$AF$12</f>
        <v>5.9087499999999995</v>
      </c>
      <c r="E8" s="12">
        <f>'Wafer Status'!I8-'Wafer Status'!AF8-'Wafer Status'!$AF$12</f>
        <v>2.13375</v>
      </c>
      <c r="F8" s="12">
        <f>'Wafer Status'!J8-'Wafer Status'!AG8-'Wafer Status'!$AF$12</f>
        <v>2.6087499999999997</v>
      </c>
      <c r="G8" s="12">
        <f>'Wafer Status'!K8-'Wafer Status'!AH8-'Wafer Status'!$AF$12</f>
        <v>5.6237500000000011</v>
      </c>
      <c r="H8" s="12">
        <f>'Wafer Status'!L8-'Wafer Status'!AI8-'Wafer Status'!$AF$12</f>
        <v>2.4137499999999998</v>
      </c>
      <c r="I8" s="12">
        <f>'Wafer Status'!M8-'Wafer Status'!AJ8-'Wafer Status'!$AF$12</f>
        <v>2.3587500000000006</v>
      </c>
      <c r="J8" s="12">
        <f>'Wafer Status'!N8-'Wafer Status'!AK8-'Wafer Status'!$AF$12</f>
        <v>5.6662499999999998</v>
      </c>
      <c r="K8" s="12">
        <f>'Wafer Status'!O8-'Wafer Status'!AL8-'Wafer Status'!$AF$12</f>
        <v>2.3562499999999997</v>
      </c>
      <c r="L8" s="12">
        <f>'Wafer Status'!P8-'Wafer Status'!AM8-'Wafer Status'!$AF$12</f>
        <v>1.9862500000000005</v>
      </c>
      <c r="M8" s="12">
        <f>'Wafer Status'!Q8-'Wafer Status'!AN8-'Wafer Status'!$AF$12</f>
        <v>5.9912499999999991</v>
      </c>
      <c r="N8" s="12">
        <f>'Wafer Status'!R8-'Wafer Status'!AO8-'Wafer Status'!$AF$12</f>
        <v>2.5162499999999999</v>
      </c>
      <c r="O8" s="12">
        <f>'Wafer Status'!S8-'Wafer Status'!AP8-'Wafer Status'!$AF$12</f>
        <v>2.5637500000000002</v>
      </c>
      <c r="P8" s="12">
        <f>'Wafer Status'!T8-'Wafer Status'!AQ8-'Wafer Status'!$AF$12</f>
        <v>5.8937499999999989</v>
      </c>
      <c r="Q8" s="12">
        <f>'Wafer Status'!U8-'Wafer Status'!AR8-'Wafer Status'!$AF$12</f>
        <v>2.4412500000000006</v>
      </c>
      <c r="R8" s="12">
        <f>'Wafer Status'!V8-'Wafer Status'!AS8-'Wafer Status'!$AF$12</f>
        <v>2.5037500000000001</v>
      </c>
      <c r="S8" s="12">
        <f>'Wafer Status'!W8-'Wafer Status'!AT8-'Wafer Status'!$AF$12</f>
        <v>5.816749999999999</v>
      </c>
      <c r="T8" s="12">
        <f>'Wafer Status'!X8-'Wafer Status'!AU8-'Wafer Status'!$AF$12</f>
        <v>2.3722499999999989</v>
      </c>
      <c r="U8" s="12">
        <f>'Wafer Status'!Y8-'Wafer Status'!AV8-'Wafer Status'!$AF$12</f>
        <v>2.4042499999999993</v>
      </c>
    </row>
    <row r="9" spans="1:21">
      <c r="A9" s="26" t="s">
        <v>61</v>
      </c>
      <c r="B9">
        <v>25</v>
      </c>
      <c r="C9" s="9"/>
      <c r="D9" s="12">
        <f>'Wafer Status'!H9-'Wafer Status'!AE9-'Wafer Status'!$AF$12</f>
        <v>5.7687499999999989</v>
      </c>
      <c r="E9" s="12">
        <f>'Wafer Status'!I9-'Wafer Status'!AF9-'Wafer Status'!$AF$12</f>
        <v>3.5762500000000004</v>
      </c>
      <c r="F9" s="12">
        <f>'Wafer Status'!J9-'Wafer Status'!AG9-'Wafer Status'!$AF$12</f>
        <v>3.9337500000000012</v>
      </c>
      <c r="G9" s="12">
        <f>'Wafer Status'!K9-'Wafer Status'!AH9-'Wafer Status'!$AF$12</f>
        <v>5.9137500000000003</v>
      </c>
      <c r="H9" s="12">
        <f>'Wafer Status'!L9-'Wafer Status'!AI9-'Wafer Status'!$AF$12</f>
        <v>3.9937499999999999</v>
      </c>
      <c r="I9" s="12">
        <f>'Wafer Status'!M9-'Wafer Status'!AJ9-'Wafer Status'!$AF$12</f>
        <v>3.8437500000000004</v>
      </c>
      <c r="J9" s="12">
        <f>'Wafer Status'!N9-'Wafer Status'!AK9-'Wafer Status'!$AF$12</f>
        <v>5.7512500000000006</v>
      </c>
      <c r="K9" s="12">
        <f>'Wafer Status'!O9-'Wafer Status'!AL9-'Wafer Status'!$AF$12</f>
        <v>4.0437499999999993</v>
      </c>
      <c r="L9" s="12">
        <f>'Wafer Status'!P9-'Wafer Status'!AM9-'Wafer Status'!$AF$12</f>
        <v>4.4187499999999993</v>
      </c>
      <c r="M9" s="12">
        <f>'Wafer Status'!Q9-'Wafer Status'!AN9-'Wafer Status'!$AF$12</f>
        <v>5.7962500000000006</v>
      </c>
      <c r="N9" s="12">
        <f>'Wafer Status'!R9-'Wafer Status'!AO9-'Wafer Status'!$AF$12</f>
        <v>3.6012500000000007</v>
      </c>
      <c r="O9" s="12">
        <f>'Wafer Status'!S9-'Wafer Status'!AP9-'Wafer Status'!$AF$12</f>
        <v>3.6662500000000002</v>
      </c>
      <c r="P9" s="12">
        <f>'Wafer Status'!T9-'Wafer Status'!AQ9-'Wafer Status'!$AF$12</f>
        <v>5.6112500000000001</v>
      </c>
      <c r="Q9" s="12">
        <f>'Wafer Status'!U9-'Wafer Status'!AR9-'Wafer Status'!$AF$12</f>
        <v>3.9412500000000006</v>
      </c>
      <c r="R9" s="12">
        <f>'Wafer Status'!V9-'Wafer Status'!AS9-'Wafer Status'!$AF$12</f>
        <v>3.8137499999999993</v>
      </c>
      <c r="S9" s="12">
        <f>'Wafer Status'!W9-'Wafer Status'!AT9-'Wafer Status'!$AF$12</f>
        <v>5.7682500000000001</v>
      </c>
      <c r="T9" s="12">
        <f>'Wafer Status'!X9-'Wafer Status'!AU9-'Wafer Status'!$AF$12</f>
        <v>3.8312499999999994</v>
      </c>
      <c r="U9" s="12">
        <f>'Wafer Status'!Y9-'Wafer Status'!AV9-'Wafer Status'!$AF$12</f>
        <v>3.9352499999999986</v>
      </c>
    </row>
    <row r="10" spans="1:21">
      <c r="A10" s="26" t="s">
        <v>62</v>
      </c>
      <c r="B10">
        <v>55</v>
      </c>
      <c r="C10" s="9"/>
      <c r="D10" s="12">
        <f>'Wafer Status'!AE10</f>
        <v>5.7949999999999999</v>
      </c>
      <c r="E10" s="12">
        <f>'Wafer Status'!AF10</f>
        <v>0.83499999999999996</v>
      </c>
      <c r="F10" s="12">
        <f>'Wafer Status'!AG10</f>
        <v>0.75750000000000006</v>
      </c>
      <c r="G10" s="12">
        <f>'Wafer Status'!AH10</f>
        <v>5.8475000000000001</v>
      </c>
      <c r="H10" s="12">
        <f>'Wafer Status'!AI10</f>
        <v>0.9375</v>
      </c>
      <c r="I10" s="12">
        <f>'Wafer Status'!AJ10</f>
        <v>0.92500000000000004</v>
      </c>
      <c r="J10" s="12">
        <f>'Wafer Status'!N10-'Wafer Status'!AK10-'Wafer Status'!$AF$12</f>
        <v>5.6612500000000008</v>
      </c>
      <c r="K10" s="12">
        <f>'Wafer Status'!AL10</f>
        <v>0.99750000000000005</v>
      </c>
      <c r="L10" s="12">
        <f>'Wafer Status'!AM10</f>
        <v>0.88</v>
      </c>
      <c r="M10" s="12">
        <f>'Wafer Status'!Q10-'Wafer Status'!AN10-'Wafer Status'!$AF$12</f>
        <v>5.8837499999999991</v>
      </c>
      <c r="N10" s="12">
        <f>'Wafer Status'!AO10</f>
        <v>0.85499999999999998</v>
      </c>
      <c r="O10" s="12">
        <f>'Wafer Status'!AP10</f>
        <v>0.96249999999999991</v>
      </c>
      <c r="P10" s="12">
        <f>'Wafer Status'!T10-'Wafer Status'!AQ10-'Wafer Status'!$AF$12</f>
        <v>5.8787500000000001</v>
      </c>
      <c r="Q10" s="12">
        <f>'Wafer Status'!AR10</f>
        <v>0.92500000000000004</v>
      </c>
      <c r="R10" s="12">
        <f>'Wafer Status'!AS10</f>
        <v>1.0275000000000001</v>
      </c>
      <c r="S10" s="12">
        <f>'Wafer Status'!W10-'Wafer Status'!AT10-'Wafer Status'!$AF$12</f>
        <v>5.81325</v>
      </c>
      <c r="T10" s="12">
        <f>'Wafer Status'!AU10</f>
        <v>0.90999999999999992</v>
      </c>
      <c r="U10" s="12">
        <f>'Wafer Status'!AV10</f>
        <v>0.91050000000000009</v>
      </c>
    </row>
    <row r="18" spans="5:5">
      <c r="E18" s="38"/>
    </row>
  </sheetData>
  <mergeCells count="6">
    <mergeCell ref="D1:F1"/>
    <mergeCell ref="G1:I1"/>
    <mergeCell ref="J1:L1"/>
    <mergeCell ref="M1:O1"/>
    <mergeCell ref="P1:R1"/>
    <mergeCell ref="S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7e118d3c-cf2c-4128-9e60-0888f7450af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195C43FE38834190AD02952D649FD7" ma:contentTypeVersion="19" ma:contentTypeDescription="Create a new document." ma:contentTypeScope="" ma:versionID="0380519f9b74b5abaf62ed559df5e66f">
  <xsd:schema xmlns:xsd="http://www.w3.org/2001/XMLSchema" xmlns:xs="http://www.w3.org/2001/XMLSchema" xmlns:p="http://schemas.microsoft.com/office/2006/metadata/properties" xmlns:ns2="7e118d3c-cf2c-4128-9e60-0888f7450af2" xmlns:ns3="dd525dda-2a34-4ca5-a8c9-9cc0327ce268" xmlns:ns4="ab06a5aa-8e31-4bdb-9b13-38c58a92ec8a" targetNamespace="http://schemas.microsoft.com/office/2006/metadata/properties" ma:root="true" ma:fieldsID="8ff845e621325300d74f5263f97ddb6c" ns2:_="" ns3:_="" ns4:_="">
    <xsd:import namespace="7e118d3c-cf2c-4128-9e60-0888f7450af2"/>
    <xsd:import namespace="dd525dda-2a34-4ca5-a8c9-9cc0327ce268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18d3c-cf2c-4128-9e60-0888f7450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25dda-2a34-4ca5-a8c9-9cc0327ce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61a4719-a4eb-48db-9daa-44edcade66bf}" ma:internalName="TaxCatchAll" ma:showField="CatchAllData" ma:web="dd525dda-2a34-4ca5-a8c9-9cc0327ce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2F5213-712B-482F-82FD-ACB349A3B196}">
  <ds:schemaRefs>
    <ds:schemaRef ds:uri="dd525dda-2a34-4ca5-a8c9-9cc0327ce268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ab06a5aa-8e31-4bdb-9b13-38c58a92ec8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e118d3c-cf2c-4128-9e60-0888f7450af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C5935B-6E0B-42B8-9F55-FA694CBE5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118d3c-cf2c-4128-9e60-0888f7450af2"/>
    <ds:schemaRef ds:uri="dd525dda-2a34-4ca5-a8c9-9cc0327ce268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85AB24-DEE0-4E3A-8CB3-12E3FF1F26A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 Flow</vt:lpstr>
      <vt:lpstr>Run Sheet</vt:lpstr>
      <vt:lpstr>Wafer Status</vt:lpstr>
      <vt:lpstr>Pad widths</vt:lpstr>
      <vt:lpstr>Pad widths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McGee</dc:creator>
  <cp:keywords/>
  <dc:description/>
  <cp:lastModifiedBy>Mick Deines</cp:lastModifiedBy>
  <cp:revision/>
  <dcterms:created xsi:type="dcterms:W3CDTF">2025-08-26T17:37:06Z</dcterms:created>
  <dcterms:modified xsi:type="dcterms:W3CDTF">2026-05-08T00:54:45Z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0x0101007A195C43FE38834190AD02952D649FD7</vt:lpwstr>
  </property>
  <property fmtid="{D5CDD505-2E9C-101B-9397-08002B2CF9AE}" pid="3" name="MediaServiceImageTags">
    <vt:lpwstr/>
  </property>
</Properties>
</file>